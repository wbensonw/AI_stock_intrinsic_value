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'投資總覽'!$A$1:$AF$2</definedName>
    <definedName name="_xlnm._FilterDatabase" localSheetId="1" hidden="1">'估值模型明細'!$A$1:$Q$2</definedName>
    <definedName name="_xlnm._FilterDatabase" localSheetId="2" hidden="1">'五檔價位帶'!$A$1:$L$2</definedName>
    <definedName name="_xlnm._FilterDatabase" localSheetId="3" hidden="1">'關鍵財務指標'!$A$1:$AC$2</definedName>
    <definedName name="_xlnm._FilterDatabase" localSheetId="4" hidden="1">'AI投資建議'!$A$1:$M$2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13.8" customWidth="1" min="16" max="16"/>
    <col width="13.8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</t>
        </is>
      </c>
      <c r="Q1" s="1" t="inlineStr">
        <is>
          <t>AI區間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一句話重點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00700</t>
        </is>
      </c>
      <c r="C2" s="3" t="inlineStr">
        <is>
          <t>腾讯控股</t>
        </is>
      </c>
      <c r="D2" s="3" t="inlineStr"/>
      <c r="E2" s="2" t="inlineStr">
        <is>
          <t>mature</t>
        </is>
      </c>
      <c r="F2" s="2" t="inlineStr">
        <is>
          <t>HKD</t>
        </is>
      </c>
      <c r="G2" s="3" t="inlineStr"/>
      <c r="H2" s="4" t="n">
        <v>433</v>
      </c>
      <c r="I2" s="4" t="n">
        <v>659.8543</v>
      </c>
      <c r="J2" s="4" t="n">
        <v>459.3431</v>
      </c>
      <c r="K2" s="4" t="n">
        <v>609.7476</v>
      </c>
      <c r="L2" s="5" t="n">
        <v>-34.4</v>
      </c>
      <c r="M2" s="5" t="n">
        <v>25</v>
      </c>
      <c r="N2" s="4" t="n">
        <v>494.8907</v>
      </c>
      <c r="O2" s="2" t="inlineStr">
        <is>
          <t>是</t>
        </is>
      </c>
      <c r="P2" s="6" t="inlineStr">
        <is>
          <t>便宜</t>
        </is>
      </c>
      <c r="Q2" s="2" t="inlineStr">
        <is>
          <t>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95.90000000000001</v>
      </c>
      <c r="X2" s="3" t="inlineStr">
        <is>
          <t>高毛利57.39%與ROE中位22.71%支撐強勁現金流，資產負債結構穩健。</t>
        </is>
      </c>
      <c r="Y2" s="5" t="n">
        <v>20.7</v>
      </c>
      <c r="Z2" s="5" t="n">
        <v>18.7</v>
      </c>
      <c r="AA2" s="5" t="n">
        <v>57.4</v>
      </c>
      <c r="AB2" s="5" t="n">
        <v>43.4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2026-09-03</t>
        </is>
      </c>
      <c r="AF2" s="3" t="inlineStr">
        <is>
          <t>報表幣別 CNY → 交易幣別 HKD，匯率 1.1641</t>
        </is>
      </c>
    </row>
  </sheetData>
  <autoFilter ref="A1:AF2"/>
  <conditionalFormatting sqref="R2">
    <cfRule type="dataBar" priority="1">
      <dataBar>
        <cfvo type="num" val="0"/>
        <cfvo type="num" val="10"/>
        <color rgb="00FF9500"/>
      </dataBar>
    </cfRule>
  </conditionalFormatting>
  <conditionalFormatting sqref="L2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7" t="inlineStr">
        <is>
          <t>00700</t>
        </is>
      </c>
      <c r="B2" s="8" t="inlineStr">
        <is>
          <t>腾讯控股</t>
        </is>
      </c>
      <c r="C2" s="9" t="n">
        <v>433</v>
      </c>
      <c r="D2" s="9" t="n">
        <v>659.8543</v>
      </c>
      <c r="E2" s="9" t="n">
        <v>282.2421</v>
      </c>
      <c r="F2" s="9" t="n">
        <v>469.194</v>
      </c>
      <c r="G2" s="9" t="inlineStr"/>
      <c r="H2" s="9" t="n">
        <v>684.9804</v>
      </c>
      <c r="I2" s="9" t="n">
        <v>369.1954</v>
      </c>
      <c r="J2" s="9" t="n">
        <v>459.3431</v>
      </c>
      <c r="K2" s="9" t="n">
        <v>3850.9893</v>
      </c>
      <c r="L2" s="9" t="n">
        <v>609.7476</v>
      </c>
      <c r="M2" s="9" t="n">
        <v>9.15</v>
      </c>
      <c r="N2" s="9" t="n">
        <v>9.949999999999999</v>
      </c>
      <c r="O2" s="7" t="n">
        <v>1</v>
      </c>
      <c r="P2" s="8" t="inlineStr">
        <is>
          <t>{"graham_number": 0.102, "graham_formula": 0.102, "buffett_oe": 0.245, "epv": 0.204, "damodaran_fcff": 0.245, "ri_pb": 0.051, "ddm": 0.051}</t>
        </is>
      </c>
      <c r="Q2" s="8" t="inlineStr">
        <is>
          <t>{"graham_number": {"EPS(3年均)": 20.938, "BVPS": 124.7758},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</sheetData>
  <autoFilter ref="A1:Q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" t="inlineStr">
        <is>
          <t>00700</t>
        </is>
      </c>
      <c r="B2" s="3" t="inlineStr">
        <is>
          <t>腾讯控股</t>
        </is>
      </c>
      <c r="C2" s="2" t="inlineStr">
        <is>
          <t>HKD</t>
        </is>
      </c>
      <c r="D2" s="4" t="n">
        <v>433</v>
      </c>
      <c r="E2" s="4" t="n">
        <v>329.9271</v>
      </c>
      <c r="F2" s="4" t="n">
        <v>494.8907</v>
      </c>
      <c r="G2" s="4" t="n">
        <v>758.8324</v>
      </c>
      <c r="H2" s="4" t="n">
        <v>989.7814</v>
      </c>
      <c r="I2" s="4" t="n">
        <v>989.7814</v>
      </c>
      <c r="J2" s="6" t="inlineStr">
        <is>
          <t>便宜</t>
        </is>
      </c>
      <c r="K2" s="4" t="n">
        <v>0.6562</v>
      </c>
      <c r="L2" s="4" t="n">
        <v>494.8907</v>
      </c>
    </row>
  </sheetData>
  <autoFilter ref="A1:L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7" t="inlineStr">
        <is>
          <t>00700</t>
        </is>
      </c>
      <c r="B2" s="8" t="inlineStr">
        <is>
          <t>腾讯控股</t>
        </is>
      </c>
      <c r="C2" s="7" t="n">
        <v>778561000000</v>
      </c>
      <c r="D2" s="7" t="n">
        <v>235508000000</v>
      </c>
      <c r="E2" s="7" t="n">
        <v>305848000000</v>
      </c>
      <c r="F2" s="7" t="n">
        <v>193325000000</v>
      </c>
      <c r="G2" s="7" t="n">
        <v>202308000000</v>
      </c>
      <c r="H2" s="7" t="n">
        <v>57.39</v>
      </c>
      <c r="I2" s="7" t="n">
        <v>33.21</v>
      </c>
      <c r="J2" s="7" t="n">
        <v>30.25</v>
      </c>
      <c r="K2" s="7" t="n">
        <v>24.83</v>
      </c>
      <c r="L2" s="7" t="n">
        <v>20.73</v>
      </c>
      <c r="M2" s="7" t="n">
        <v>22.71</v>
      </c>
      <c r="N2" s="7" t="n">
        <v>0.814677</v>
      </c>
      <c r="O2" s="7" t="n">
        <v>18.73</v>
      </c>
      <c r="P2" s="7" t="n">
        <v>43.39</v>
      </c>
      <c r="Q2" s="7" t="n">
        <v>0.415395</v>
      </c>
      <c r="R2" s="7" t="n">
        <v>1.287</v>
      </c>
      <c r="S2" s="7" t="n">
        <v>19.213957</v>
      </c>
      <c r="T2" s="7" t="n">
        <v>-12924000000</v>
      </c>
      <c r="U2" s="7" t="n">
        <v>918093000000</v>
      </c>
      <c r="V2" s="7" t="n">
        <v>10.76</v>
      </c>
      <c r="W2" s="7" t="n">
        <v>9.4</v>
      </c>
      <c r="X2" s="7" t="n">
        <v>22.45</v>
      </c>
      <c r="Y2" s="7" t="n">
        <v>8</v>
      </c>
      <c r="Z2" s="7" t="n">
        <v>18.58</v>
      </c>
      <c r="AA2" s="7" t="n">
        <v>9</v>
      </c>
      <c r="AB2" s="7" t="n">
        <v>10</v>
      </c>
      <c r="AC2" s="7" t="inlineStr">
        <is>
          <t>4/7</t>
        </is>
      </c>
    </row>
  </sheetData>
  <autoFilter ref="A1:AC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3.8" customWidth="1" min="12" max="12"/>
    <col width="26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一句話重點(不考慮價格)</t>
        </is>
      </c>
      <c r="I1" s="1" t="inlineStr">
        <is>
          <t>200字投資建議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AI日期</t>
        </is>
      </c>
      <c r="M1" s="1" t="inlineStr">
        <is>
          <t>品質旗標</t>
        </is>
      </c>
    </row>
    <row r="2" ht="118" customHeight="1">
      <c r="A2" s="2" t="inlineStr">
        <is>
          <t>00700</t>
        </is>
      </c>
      <c r="B2" s="3" t="inlineStr">
        <is>
          <t>腾讯控股</t>
        </is>
      </c>
      <c r="C2" s="2" t="n">
        <v>8.5</v>
      </c>
      <c r="D2" s="2" t="inlineStr">
        <is>
          <t>★★★★☆</t>
        </is>
      </c>
      <c r="E2" s="6" t="inlineStr">
        <is>
          <t>便宜</t>
        </is>
      </c>
      <c r="F2" s="2" t="inlineStr">
        <is>
          <t>便宜</t>
        </is>
      </c>
      <c r="G2" s="2" t="n">
        <v>95.90000000000001</v>
      </c>
      <c r="H2" s="3" t="inlineStr">
        <is>
          <t>高毛利57.39%與ROE中位22.71%支撐強勁現金流，資產負債結構穩健。</t>
        </is>
      </c>
      <c r="I2" s="3" t="inlineStr">
        <is>
          <t>獲利品質優異：毛利率57.39%、營業利益率33.21%及自由現金流率24.83%顯示強勁現金轉化能力。資產負債結構穩健，負債權益比0.415且利息保障倍數19.21倍，但流動比率1.287偏低需關注短期償債能力。成長動能持續，3年營收CAGR 10.76%搭配ROIC 18.73%，資本支出效率提升。估值顯著低估，價格/內在價值0.656且安全邊際達標，多數模型（如buffett_oe 684.98、ddm 609.75）支持上行空間。建議買入，密切觀察ROE穩定度0.815及營收CAGR變化趨勢。</t>
        </is>
      </c>
      <c r="J2" s="3" t="inlineStr">
        <is>
          <t>淨現金為負-12924百萬 / 營收增速放緩至10.76% / 流動比率1.287偏低</t>
        </is>
      </c>
      <c r="K2" s="2" t="inlineStr">
        <is>
          <t>qwen-plus</t>
        </is>
      </c>
      <c r="L2" s="2" t="inlineStr">
        <is>
          <t>2026-09-03</t>
        </is>
      </c>
      <c r="M2" s="3" t="inlineStr"/>
    </row>
  </sheetData>
  <autoFilter ref="A1:M2"/>
  <conditionalFormatting sqref="C2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10" t="inlineStr">
        <is>
          <t>章節</t>
        </is>
      </c>
      <c r="B1" s="11" t="inlineStr">
        <is>
          <t>內容</t>
        </is>
      </c>
    </row>
    <row r="2" ht="78" customHeight="1">
      <c r="A2" t="inlineStr">
        <is>
          <t>① 資料來源</t>
        </is>
      </c>
      <c r="B2" s="12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12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12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12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12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12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12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12" t="inlineStr">
        <is>
          <t>AI 僅獲得本檔內數字與精簡 Excel 附件，Prompt 禁止外部事實；輸出經 JSON Schema 驗證與可疑敘述掃描，結果記於「品質旗標」欄。旗標非空者請人工複核。</t>
        </is>
      </c>
    </row>
    <row r="10" ht="78" customHeight="1">
      <c r="A10" t="inlineStr">
        <is>
          <t>⑨ 已知限制</t>
        </is>
      </c>
      <c r="B10" s="12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12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2026-09-03T14:06:49Z</dcterms:created>
  <dcterms:modified xmlns:dcterms="http://purl.org/dc/terms/" xmlns:xsi="http://www.w3.org/2001/XMLSchema-instance" xsi:type="dcterms:W3CDTF">2026-09-03T14:06:49Z</dcterms:modified>
</cp:coreProperties>
</file>