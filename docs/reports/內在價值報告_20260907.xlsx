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投資總覽" sheetId="1" state="visible" r:id="rId1"/>
    <sheet xmlns:r="http://schemas.openxmlformats.org/officeDocument/2006/relationships" name="估值模型明細" sheetId="2" state="visible" r:id="rId2"/>
    <sheet xmlns:r="http://schemas.openxmlformats.org/officeDocument/2006/relationships" name="五檔價位帶" sheetId="3" state="visible" r:id="rId3"/>
    <sheet xmlns:r="http://schemas.openxmlformats.org/officeDocument/2006/relationships" name="關鍵財務指標" sheetId="4" state="visible" r:id="rId4"/>
    <sheet xmlns:r="http://schemas.openxmlformats.org/officeDocument/2006/relationships" name="AI投資建議" sheetId="5" state="visible" r:id="rId5"/>
    <sheet xmlns:r="http://schemas.openxmlformats.org/officeDocument/2006/relationships" name="方法與免責" sheetId="6" state="visible" r:id="rId6"/>
  </sheets>
  <definedNames>
    <definedName name="_xlnm._FilterDatabase" localSheetId="0" hidden="1">'投資總覽'!$A$1:$AF$3</definedName>
    <definedName name="_xlnm._FilterDatabase" localSheetId="1" hidden="1">'估值模型明細'!$A$1:$Q$3</definedName>
    <definedName name="_xlnm._FilterDatabase" localSheetId="2" hidden="1">'五檔價位帶'!$A$1:$L$3</definedName>
    <definedName name="_xlnm._FilterDatabase" localSheetId="3" hidden="1">'關鍵財務指標'!$A$1:$AC$3</definedName>
    <definedName name="_xlnm._FilterDatabase" localSheetId="4" hidden="1">'AI投資建議'!$A$1:$M$3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0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C1C1E"/>
      </patternFill>
    </fill>
    <fill>
      <patternFill patternType="solid">
        <fgColor rgb="00E2F0D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 wrapText="1"/>
    </xf>
    <xf numFmtId="16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/>
    </xf>
    <xf numFmtId="0" fontId="4" fillId="2" borderId="0" pivotButton="0" quotePrefix="0" xfId="0"/>
    <xf numFmtId="0" fontId="4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9.4" customWidth="1" min="2" max="2"/>
    <col width="16" customWidth="1" min="3" max="3"/>
    <col width="14" customWidth="1" min="4" max="4"/>
    <col width="9.4" customWidth="1" min="5" max="5"/>
    <col width="9.4" customWidth="1" min="6" max="6"/>
    <col width="12" customWidth="1" min="7" max="7"/>
    <col width="9.4" customWidth="1" min="8" max="8"/>
    <col width="13.8" customWidth="1" min="9" max="9"/>
    <col width="20" customWidth="1" min="10" max="10"/>
    <col width="20" customWidth="1" min="11" max="11"/>
    <col width="13.8" customWidth="1" min="12" max="12"/>
    <col width="20" customWidth="1" min="13" max="13"/>
    <col width="13.8" customWidth="1" min="14" max="14"/>
    <col width="16" customWidth="1" min="15" max="15"/>
    <col width="13.8" customWidth="1" min="16" max="16"/>
    <col width="13.8" customWidth="1" min="17" max="17"/>
    <col width="16" customWidth="1" min="18" max="18"/>
    <col width="9.4" customWidth="1" min="19" max="19"/>
    <col width="13.8" customWidth="1" min="20" max="20"/>
    <col width="11.6" customWidth="1" min="21" max="21"/>
    <col width="13.8" customWidth="1" min="22" max="22"/>
    <col width="9.4" customWidth="1" min="23" max="23"/>
    <col width="52" customWidth="1" min="24" max="24"/>
    <col width="13.8" customWidth="1" min="25" max="25"/>
    <col width="16" customWidth="1" min="26" max="26"/>
    <col width="13.8" customWidth="1" min="27" max="27"/>
    <col width="13.8" customWidth="1" min="28" max="28"/>
    <col width="13.8" customWidth="1" min="29" max="29"/>
    <col width="11.6" customWidth="1" min="30" max="30"/>
    <col width="11.6" customWidth="1" min="31" max="31"/>
    <col width="40" customWidth="1" min="32" max="32"/>
  </cols>
  <sheetData>
    <row r="1" ht="30" customHeight="1">
      <c r="A1" s="1" t="inlineStr">
        <is>
          <t>市場</t>
        </is>
      </c>
      <c r="B1" s="1" t="inlineStr">
        <is>
          <t>代號</t>
        </is>
      </c>
      <c r="C1" s="1" t="inlineStr">
        <is>
          <t>名稱</t>
        </is>
      </c>
      <c r="D1" s="1" t="inlineStr">
        <is>
          <t>行業</t>
        </is>
      </c>
      <c r="E1" s="1" t="inlineStr">
        <is>
          <t>畫像</t>
        </is>
      </c>
      <c r="F1" s="1" t="inlineStr">
        <is>
          <t>幣別</t>
        </is>
      </c>
      <c r="G1" s="1" t="inlineStr">
        <is>
          <t>標籤</t>
        </is>
      </c>
      <c r="H1" s="1" t="inlineStr">
        <is>
          <t>現價</t>
        </is>
      </c>
      <c r="I1" s="1" t="inlineStr">
        <is>
          <t>內在價值</t>
        </is>
      </c>
      <c r="J1" s="1" t="inlineStr">
        <is>
          <t>價值下限P25</t>
        </is>
      </c>
      <c r="K1" s="1" t="inlineStr">
        <is>
          <t>價值上限P75</t>
        </is>
      </c>
      <c r="L1" s="1" t="inlineStr">
        <is>
          <t>折溢價%</t>
        </is>
      </c>
      <c r="M1" s="1" t="inlineStr">
        <is>
          <t>安全邊際MOS%</t>
        </is>
      </c>
      <c r="N1" s="1" t="inlineStr">
        <is>
          <t>安全買點</t>
        </is>
      </c>
      <c r="O1" s="1" t="inlineStr">
        <is>
          <t>達安全邊際</t>
        </is>
      </c>
      <c r="P1" s="1" t="inlineStr">
        <is>
          <t>估值區間</t>
        </is>
      </c>
      <c r="Q1" s="1" t="inlineStr">
        <is>
          <t>AI區間</t>
        </is>
      </c>
      <c r="R1" s="1" t="inlineStr">
        <is>
          <t>AI推薦度</t>
        </is>
      </c>
      <c r="S1" s="1" t="inlineStr">
        <is>
          <t>評級</t>
        </is>
      </c>
      <c r="T1" s="1" t="inlineStr">
        <is>
          <t>格雷厄姆</t>
        </is>
      </c>
      <c r="U1" s="1" t="inlineStr">
        <is>
          <t>巴菲特</t>
        </is>
      </c>
      <c r="V1" s="1" t="inlineStr">
        <is>
          <t>達摩達蘭</t>
        </is>
      </c>
      <c r="W1" s="1" t="inlineStr">
        <is>
          <t>信心</t>
        </is>
      </c>
      <c r="X1" s="1" t="inlineStr">
        <is>
          <t>一句話重點</t>
        </is>
      </c>
      <c r="Y1" s="1" t="inlineStr">
        <is>
          <t>ROE%</t>
        </is>
      </c>
      <c r="Z1" s="1" t="inlineStr">
        <is>
          <t>ROIC%</t>
        </is>
      </c>
      <c r="AA1" s="1" t="inlineStr">
        <is>
          <t>毛利率%</t>
        </is>
      </c>
      <c r="AB1" s="1" t="inlineStr">
        <is>
          <t>負債率%</t>
        </is>
      </c>
      <c r="AC1" s="1" t="inlineStr">
        <is>
          <t>最新年報</t>
        </is>
      </c>
      <c r="AD1" s="1" t="inlineStr">
        <is>
          <t>報表日</t>
        </is>
      </c>
      <c r="AE1" s="1" t="inlineStr">
        <is>
          <t>估值日</t>
        </is>
      </c>
      <c r="AF1" s="1" t="inlineStr">
        <is>
          <t>警示</t>
        </is>
      </c>
    </row>
    <row r="2">
      <c r="A2" s="2" t="inlineStr">
        <is>
          <t>HK</t>
        </is>
      </c>
      <c r="B2" s="2" t="inlineStr">
        <is>
          <t>00700</t>
        </is>
      </c>
      <c r="C2" s="3" t="inlineStr">
        <is>
          <t>腾讯控股</t>
        </is>
      </c>
      <c r="D2" s="3" t="inlineStr"/>
      <c r="E2" s="2" t="inlineStr">
        <is>
          <t>mature</t>
        </is>
      </c>
      <c r="F2" s="2" t="inlineStr">
        <is>
          <t>HKD</t>
        </is>
      </c>
      <c r="G2" s="3" t="inlineStr"/>
      <c r="H2" s="4" t="n">
        <v>442.8</v>
      </c>
      <c r="I2" s="4" t="n">
        <v>659.7439000000001</v>
      </c>
      <c r="J2" s="4" t="n">
        <v>459.2987</v>
      </c>
      <c r="K2" s="4" t="n">
        <v>609.7476</v>
      </c>
      <c r="L2" s="5" t="n">
        <v>-32.9</v>
      </c>
      <c r="M2" s="5" t="n">
        <v>25</v>
      </c>
      <c r="N2" s="4" t="n">
        <v>494.8079</v>
      </c>
      <c r="O2" s="2" t="inlineStr">
        <is>
          <t>是</t>
        </is>
      </c>
      <c r="P2" s="6" t="inlineStr">
        <is>
          <t>便宜</t>
        </is>
      </c>
      <c r="Q2" s="2" t="inlineStr">
        <is>
          <t>便宜</t>
        </is>
      </c>
      <c r="R2" s="2" t="n">
        <v>8.5</v>
      </c>
      <c r="S2" s="2" t="inlineStr">
        <is>
          <t>★★★★☆</t>
        </is>
      </c>
      <c r="T2" s="2" t="n">
        <v>7</v>
      </c>
      <c r="U2" s="2" t="n">
        <v>9</v>
      </c>
      <c r="V2" s="2" t="n">
        <v>8.5</v>
      </c>
      <c r="W2" s="2" t="n">
        <v>95.90000000000001</v>
      </c>
      <c r="X2" s="3" t="inlineStr">
        <is>
          <t>高毛利57.39%支撐強勁現金流，ROE十年中位22.71%穩定成長</t>
        </is>
      </c>
      <c r="Y2" s="5" t="n">
        <v>20.7</v>
      </c>
      <c r="Z2" s="5" t="n">
        <v>18.7</v>
      </c>
      <c r="AA2" s="5" t="n">
        <v>57.4</v>
      </c>
      <c r="AB2" s="5" t="n">
        <v>43.4</v>
      </c>
      <c r="AC2" s="2" t="inlineStr">
        <is>
          <t>2025</t>
        </is>
      </c>
      <c r="AD2" s="2" t="inlineStr">
        <is>
          <t>2026-06-30</t>
        </is>
      </c>
      <c r="AE2" s="2" t="inlineStr">
        <is>
          <t>2026-09-04</t>
        </is>
      </c>
      <c r="AF2" s="3" t="inlineStr">
        <is>
          <t>報表幣別 CNY → 交易幣別 HKD，匯率 1.1641</t>
        </is>
      </c>
    </row>
    <row r="3">
      <c r="A3" s="7" t="inlineStr">
        <is>
          <t>CN</t>
        </is>
      </c>
      <c r="B3" s="7" t="inlineStr">
        <is>
          <t>600519</t>
        </is>
      </c>
      <c r="C3" s="8" t="inlineStr">
        <is>
          <t>贵州茅台</t>
        </is>
      </c>
      <c r="D3" s="8" t="inlineStr"/>
      <c r="E3" s="7" t="inlineStr">
        <is>
          <t>mature</t>
        </is>
      </c>
      <c r="F3" s="7" t="inlineStr">
        <is>
          <t>CNY</t>
        </is>
      </c>
      <c r="G3" s="8" t="inlineStr"/>
      <c r="H3" s="9" t="n">
        <v>1316.81</v>
      </c>
      <c r="I3" s="9" t="n">
        <v>1186.8339</v>
      </c>
      <c r="J3" s="9" t="n">
        <v>838.7816</v>
      </c>
      <c r="K3" s="9" t="n">
        <v>2058.441</v>
      </c>
      <c r="L3" s="10" t="n">
        <v>11</v>
      </c>
      <c r="M3" s="10" t="n">
        <v>25</v>
      </c>
      <c r="N3" s="9" t="n">
        <v>890.1254</v>
      </c>
      <c r="O3" s="7" t="inlineStr">
        <is>
          <t>否</t>
        </is>
      </c>
      <c r="P3" s="11" t="inlineStr">
        <is>
          <t>合理</t>
        </is>
      </c>
      <c r="Q3" s="7" t="inlineStr">
        <is>
          <t>合理</t>
        </is>
      </c>
      <c r="R3" s="7" t="n">
        <v>8.5</v>
      </c>
      <c r="S3" s="7" t="inlineStr">
        <is>
          <t>★★★★☆</t>
        </is>
      </c>
      <c r="T3" s="7" t="n">
        <v>6.5</v>
      </c>
      <c r="U3" s="7" t="n">
        <v>7.5</v>
      </c>
      <c r="V3" s="7" t="n">
        <v>8</v>
      </c>
      <c r="W3" s="7" t="n">
        <v>81.5</v>
      </c>
      <c r="X3" s="8" t="inlineStr">
        <is>
          <t>毛利率90.42%，ROIC 42.62%，淨現金532.75億，營收十年CAGR 17.8%</t>
        </is>
      </c>
      <c r="Y3" s="10" t="n">
        <v>33.6</v>
      </c>
      <c r="Z3" s="10" t="n">
        <v>42.6</v>
      </c>
      <c r="AA3" s="10" t="n">
        <v>90.40000000000001</v>
      </c>
      <c r="AB3" s="10" t="n">
        <v>15.2</v>
      </c>
      <c r="AC3" s="7" t="inlineStr">
        <is>
          <t>2025</t>
        </is>
      </c>
      <c r="AD3" s="7" t="inlineStr">
        <is>
          <t>2026-06-30</t>
        </is>
      </c>
      <c r="AE3" s="7" t="inlineStr">
        <is>
          <t>2026-09-07</t>
        </is>
      </c>
      <c r="AF3" s="8" t="inlineStr"/>
    </row>
  </sheetData>
  <autoFilter ref="A1:AF3"/>
  <conditionalFormatting sqref="R2:R3">
    <cfRule type="dataBar" priority="1">
      <dataBar>
        <cfvo type="num" val="0"/>
        <cfvo type="num" val="10"/>
        <color rgb="00FF9500"/>
      </dataBar>
    </cfRule>
  </conditionalFormatting>
  <conditionalFormatting sqref="L2:L3">
    <cfRule type="colorScale" priority="2">
      <colorScale>
        <cfvo type="num" val="-60"/>
        <cfvo type="num" val="0"/>
        <cfvo type="num" val="10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8.2" customWidth="1" min="4" max="4"/>
    <col width="18.2" customWidth="1" min="5" max="5"/>
    <col width="18.2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16" customWidth="1" min="12" max="12"/>
    <col width="16" customWidth="1" min="13" max="13"/>
    <col width="16" customWidth="1" min="14" max="14"/>
    <col width="13.8" customWidth="1" min="15" max="15"/>
    <col width="40" customWidth="1" min="16" max="16"/>
    <col width="80" customWidth="1" min="17" max="17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加權內在價值</t>
        </is>
      </c>
      <c r="E1" s="1" t="inlineStr">
        <is>
          <t>①葛拉漢數字</t>
        </is>
      </c>
      <c r="F1" s="1" t="inlineStr">
        <is>
          <t>②葛拉漢公式</t>
        </is>
      </c>
      <c r="G1" s="1" t="inlineStr">
        <is>
          <t>③NCAV清算</t>
        </is>
      </c>
      <c r="H1" s="1" t="inlineStr">
        <is>
          <t>④巴菲特業主盈餘</t>
        </is>
      </c>
      <c r="I1" s="1" t="inlineStr">
        <is>
          <t>⑤EPV盈餘能力</t>
        </is>
      </c>
      <c r="J1" s="1" t="inlineStr">
        <is>
          <t>⑥達摩達蘭FCFF</t>
        </is>
      </c>
      <c r="K1" s="1" t="inlineStr">
        <is>
          <t>⑦剩餘收益PB</t>
        </is>
      </c>
      <c r="L1" s="1" t="inlineStr">
        <is>
          <t>⑧股利折現</t>
        </is>
      </c>
      <c r="M1" s="1" t="inlineStr">
        <is>
          <t>WACC%</t>
        </is>
      </c>
      <c r="N1" s="1" t="inlineStr">
        <is>
          <t>股權成本%</t>
        </is>
      </c>
      <c r="O1" s="1" t="inlineStr">
        <is>
          <t>Beta</t>
        </is>
      </c>
      <c r="P1" s="1" t="inlineStr">
        <is>
          <t>模型權重</t>
        </is>
      </c>
      <c r="Q1" s="1" t="inlineStr">
        <is>
          <t>關鍵假設</t>
        </is>
      </c>
    </row>
    <row r="2">
      <c r="A2" s="12" t="inlineStr">
        <is>
          <t>00700</t>
        </is>
      </c>
      <c r="B2" s="13" t="inlineStr">
        <is>
          <t>腾讯控股</t>
        </is>
      </c>
      <c r="C2" s="14" t="n">
        <v>442.8</v>
      </c>
      <c r="D2" s="14" t="n">
        <v>659.7439000000001</v>
      </c>
      <c r="E2" s="14" t="n">
        <v>282.2421</v>
      </c>
      <c r="F2" s="14" t="n">
        <v>469.194</v>
      </c>
      <c r="G2" s="14" t="inlineStr"/>
      <c r="H2" s="14" t="n">
        <v>684.9804</v>
      </c>
      <c r="I2" s="14" t="n">
        <v>368.7076</v>
      </c>
      <c r="J2" s="14" t="n">
        <v>459.2987</v>
      </c>
      <c r="K2" s="14" t="n">
        <v>3850.9893</v>
      </c>
      <c r="L2" s="14" t="n">
        <v>609.7476</v>
      </c>
      <c r="M2" s="14" t="n">
        <v>9.17</v>
      </c>
      <c r="N2" s="14" t="n">
        <v>9.949999999999999</v>
      </c>
      <c r="O2" s="12" t="n">
        <v>1</v>
      </c>
      <c r="P2" s="13" t="inlineStr">
        <is>
          <t>{"graham_number": 0.102, "graham_formula": 0.102, "buffett_oe": 0.245, "epv": 0.204, "damodaran_fcff": 0.245, "ri_pb": 0.051, "ddm": 0.051}</t>
        </is>
      </c>
      <c r="Q2" s="13" t="inlineStr">
        <is>
          <t>{"graham_number": {"EPS(3年均)": 20.938, "BVPS": 124.7758}, "graham_formula": {"g(上限10%)": 0.08, "Y公司債": 0.056}, "ncav": {"NCAV/股": 0.0, "NNWC/股": -47.8878, "net-net買點": 0.0}, "buffett_oe": {"業主盈餘(TTM,中位3年)": 202308000000.0, "g1": 0.1058, "永續g": 0.03, "門檻報酬r": 0.0905, "非營運投資(折70%)": 642665100000.0}, "epv": {"常態營業利益率": 0.3189, "常態NOPAT": 206641814252.0, "WACC": 0.0917, "淨現金": -12924000000.0}, "damodaran_fcff": {"銷售/資本": 0.8, "g1": 0.1076, "永續g": 0.03, "目標營業利益率": 0.3189, "WACC": 0.0917, "終值WACC": 0.0995, "有效稅率": 0.1678, "終值佔比": 0.565}, "ri_pb": {"常態ROE": 0.2271, "股權成本r": 0.0995, "留存成長g": 0.0945, "合理PB": 26.512}, "ddm": {"DPS": 4.8076, "g": 0.0895, "r": 0.0995}}</t>
        </is>
      </c>
    </row>
    <row r="3">
      <c r="A3" s="12" t="inlineStr">
        <is>
          <t>600519</t>
        </is>
      </c>
      <c r="B3" s="13" t="inlineStr">
        <is>
          <t>贵州茅台</t>
        </is>
      </c>
      <c r="C3" s="14" t="n">
        <v>1316.81</v>
      </c>
      <c r="D3" s="14" t="n">
        <v>1186.8339</v>
      </c>
      <c r="E3" s="14" t="n">
        <v>544.9149</v>
      </c>
      <c r="F3" s="14" t="n">
        <v>2058.441</v>
      </c>
      <c r="G3" s="14" t="n">
        <v>171.005</v>
      </c>
      <c r="H3" s="14" t="n">
        <v>869.8927</v>
      </c>
      <c r="I3" s="14" t="n">
        <v>838.7816</v>
      </c>
      <c r="J3" s="14" t="n">
        <v>1283.6279</v>
      </c>
      <c r="K3" s="14" t="n">
        <v>2189.9672</v>
      </c>
      <c r="L3" s="14" t="n">
        <v>2579.5722</v>
      </c>
      <c r="M3" s="14" t="n">
        <v>8.9</v>
      </c>
      <c r="N3" s="14" t="n">
        <v>8.9</v>
      </c>
      <c r="O3" s="12" t="n">
        <v>1</v>
      </c>
      <c r="P3" s="13" t="inlineStr">
        <is>
          <t>{"graham_number": 0.1, "graham_formula": 0.1, "ncav": 0.02, "buffett_oe": 0.24, "epv": 0.2, "damodaran_fcff": 0.24, "ri_pb": 0.05, "ddm": 0.05}</t>
        </is>
      </c>
      <c r="Q3" s="13" t="inlineStr">
        <is>
          <t>{"graham_number": {"EPS(3年均)": 65.66, "BVPS": 200.9898}, "graham_formula": {"g(上限10%)": 0.1, "Y公司債": 0.04}, "ncav": {"NCAV/股": 171.005, "NNWC/股": 29.7768, "net-net買點": 114.0604}, "buffett_oe": {"業主盈餘(TTM,中位3年)": 64728275253.0, "g1": 0.0333, "永續g": 0.021, "門檻報酬r": 0.085, "非營運投資(折70%)": 103039151.0}, "epv": {"常態營業利益率": 0.6873, "常態NOPAT": 88559729570.0, "WACC": 0.089, "淨現金": 53275114111.0}, "damodaran_fcff": {"銷售/資本": 0.875, "g1": 0.1049, "永續g": 0.021, "目標營業利益率": 0.6873, "WACC": 0.089, "終值WACC": 0.089, "有效稅率": 0.2562, "終值佔比": 0.538}, "ri_pb": {"常態ROE": 0.3272, "股權成本r": 0.089, "留存成長g": 0.0649, "合理PB": 10.896}, "ddm": {"DPS": 54.0882, "g": 0.0666, "r": 0.089}}</t>
        </is>
      </c>
    </row>
  </sheetData>
  <autoFilter ref="A1:Q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9.4" customWidth="1" min="4" max="4"/>
    <col width="18.2" customWidth="1" min="5" max="5"/>
    <col width="13.8" customWidth="1" min="6" max="6"/>
    <col width="13.8" customWidth="1" min="7" max="7"/>
    <col width="13.8" customWidth="1" min="8" max="8"/>
    <col width="18.2" customWidth="1" min="9" max="9"/>
    <col width="9.4" customWidth="1" min="10" max="10"/>
    <col width="13.8" customWidth="1" min="11" max="11"/>
    <col width="13.8" customWidth="1" min="12" max="12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幣別</t>
        </is>
      </c>
      <c r="D1" s="1" t="inlineStr">
        <is>
          <t>現價</t>
        </is>
      </c>
      <c r="E1" s="1" t="inlineStr">
        <is>
          <t>非常便宜 ≤</t>
        </is>
      </c>
      <c r="F1" s="1" t="inlineStr">
        <is>
          <t>便宜 ≤</t>
        </is>
      </c>
      <c r="G1" s="1" t="inlineStr">
        <is>
          <t>合理 ≤</t>
        </is>
      </c>
      <c r="H1" s="1" t="inlineStr">
        <is>
          <t>昂貴 ≤</t>
        </is>
      </c>
      <c r="I1" s="1" t="inlineStr">
        <is>
          <t>非常昂貴 &gt;</t>
        </is>
      </c>
      <c r="J1" s="1" t="inlineStr">
        <is>
          <t>目前</t>
        </is>
      </c>
      <c r="K1" s="1" t="inlineStr">
        <is>
          <t>P/IV</t>
        </is>
      </c>
      <c r="L1" s="1" t="inlineStr">
        <is>
          <t>安全買點</t>
        </is>
      </c>
    </row>
    <row r="2">
      <c r="A2" s="2" t="inlineStr">
        <is>
          <t>00700</t>
        </is>
      </c>
      <c r="B2" s="3" t="inlineStr">
        <is>
          <t>腾讯控股</t>
        </is>
      </c>
      <c r="C2" s="2" t="inlineStr">
        <is>
          <t>HKD</t>
        </is>
      </c>
      <c r="D2" s="4" t="n">
        <v>442.8</v>
      </c>
      <c r="E2" s="4" t="n">
        <v>329.8719</v>
      </c>
      <c r="F2" s="4" t="n">
        <v>494.8079</v>
      </c>
      <c r="G2" s="4" t="n">
        <v>758.7054000000001</v>
      </c>
      <c r="H2" s="4" t="n">
        <v>989.6158</v>
      </c>
      <c r="I2" s="4" t="n">
        <v>989.6158</v>
      </c>
      <c r="J2" s="6" t="inlineStr">
        <is>
          <t>便宜</t>
        </is>
      </c>
      <c r="K2" s="4" t="n">
        <v>0.6712</v>
      </c>
      <c r="L2" s="4" t="n">
        <v>494.8079</v>
      </c>
    </row>
    <row r="3">
      <c r="A3" s="7" t="inlineStr">
        <is>
          <t>600519</t>
        </is>
      </c>
      <c r="B3" s="8" t="inlineStr">
        <is>
          <t>贵州茅台</t>
        </is>
      </c>
      <c r="C3" s="7" t="inlineStr">
        <is>
          <t>CNY</t>
        </is>
      </c>
      <c r="D3" s="9" t="n">
        <v>1316.81</v>
      </c>
      <c r="E3" s="9" t="n">
        <v>593.417</v>
      </c>
      <c r="F3" s="9" t="n">
        <v>890.1254</v>
      </c>
      <c r="G3" s="9" t="n">
        <v>1364.859</v>
      </c>
      <c r="H3" s="9" t="n">
        <v>1780.2509</v>
      </c>
      <c r="I3" s="9" t="n">
        <v>1780.2509</v>
      </c>
      <c r="J3" s="11" t="inlineStr">
        <is>
          <t>合理</t>
        </is>
      </c>
      <c r="K3" s="9" t="n">
        <v>1.1095</v>
      </c>
      <c r="L3" s="9" t="n">
        <v>890.1254</v>
      </c>
    </row>
  </sheetData>
  <autoFilter ref="A1:L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16" customWidth="1" min="3" max="3"/>
    <col width="20" customWidth="1" min="4" max="4"/>
    <col width="20" customWidth="1" min="5" max="5"/>
    <col width="20" customWidth="1" min="6" max="6"/>
    <col width="13.8" customWidth="1" min="7" max="7"/>
    <col width="13.8" customWidth="1" min="8" max="8"/>
    <col width="18.2" customWidth="1" min="9" max="9"/>
    <col width="13.8" customWidth="1" min="10" max="10"/>
    <col width="16" customWidth="1" min="11" max="11"/>
    <col width="13.8" customWidth="1" min="12" max="12"/>
    <col width="20" customWidth="1" min="13" max="13"/>
    <col width="18.2" customWidth="1" min="14" max="14"/>
    <col width="16" customWidth="1" min="15" max="15"/>
    <col width="13.8" customWidth="1" min="16" max="16"/>
    <col width="16" customWidth="1" min="17" max="17"/>
    <col width="13.8" customWidth="1" min="18" max="18"/>
    <col width="13.8" customWidth="1" min="19" max="19"/>
    <col width="11.6" customWidth="1" min="20" max="20"/>
    <col width="16" customWidth="1" min="21" max="21"/>
    <col width="20" customWidth="1" min="22" max="22"/>
    <col width="20" customWidth="1" min="23" max="23"/>
    <col width="20" customWidth="1" min="24" max="24"/>
    <col width="20" customWidth="1" min="25" max="25"/>
    <col width="13.8" customWidth="1" min="26" max="26"/>
    <col width="20" customWidth="1" min="27" max="27"/>
    <col width="20" customWidth="1" min="28" max="28"/>
    <col width="16" customWidth="1" min="29" max="2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營收TTM</t>
        </is>
      </c>
      <c r="D1" s="1" t="inlineStr">
        <is>
          <t>歸母淨利TTM</t>
        </is>
      </c>
      <c r="E1" s="1" t="inlineStr">
        <is>
          <t>經營現金流TTM</t>
        </is>
      </c>
      <c r="F1" s="1" t="inlineStr">
        <is>
          <t>自由現金流TTM</t>
        </is>
      </c>
      <c r="G1" s="1" t="inlineStr">
        <is>
          <t>業主盈餘</t>
        </is>
      </c>
      <c r="H1" s="1" t="inlineStr">
        <is>
          <t>毛利率%</t>
        </is>
      </c>
      <c r="I1" s="1" t="inlineStr">
        <is>
          <t>營業利益率%</t>
        </is>
      </c>
      <c r="J1" s="1" t="inlineStr">
        <is>
          <t>淨利率%</t>
        </is>
      </c>
      <c r="K1" s="1" t="inlineStr">
        <is>
          <t>FCF率%</t>
        </is>
      </c>
      <c r="L1" s="1" t="inlineStr">
        <is>
          <t>ROE%</t>
        </is>
      </c>
      <c r="M1" s="1" t="inlineStr">
        <is>
          <t>ROE10年中位%</t>
        </is>
      </c>
      <c r="N1" s="1" t="inlineStr">
        <is>
          <t>ROE穩定度</t>
        </is>
      </c>
      <c r="O1" s="1" t="inlineStr">
        <is>
          <t>ROIC%</t>
        </is>
      </c>
      <c r="P1" s="1" t="inlineStr">
        <is>
          <t>負債率%</t>
        </is>
      </c>
      <c r="Q1" s="1" t="inlineStr">
        <is>
          <t>負債權益比</t>
        </is>
      </c>
      <c r="R1" s="1" t="inlineStr">
        <is>
          <t>流動比率</t>
        </is>
      </c>
      <c r="S1" s="1" t="inlineStr">
        <is>
          <t>利息保障</t>
        </is>
      </c>
      <c r="T1" s="1" t="inlineStr">
        <is>
          <t>淨現金</t>
        </is>
      </c>
      <c r="U1" s="1" t="inlineStr">
        <is>
          <t>非營運投資</t>
        </is>
      </c>
      <c r="V1" s="1" t="inlineStr">
        <is>
          <t>營收CAGR3%</t>
        </is>
      </c>
      <c r="W1" s="1" t="inlineStr">
        <is>
          <t>營收CAGR5%</t>
        </is>
      </c>
      <c r="X1" s="1" t="inlineStr">
        <is>
          <t>營收CAGR10%</t>
        </is>
      </c>
      <c r="Y1" s="1" t="inlineStr">
        <is>
          <t>EPS_CAGR5%</t>
        </is>
      </c>
      <c r="Z1" s="1" t="inlineStr">
        <is>
          <t>派息率%</t>
        </is>
      </c>
      <c r="AA1" s="1" t="inlineStr">
        <is>
          <t>10年獲利年數</t>
        </is>
      </c>
      <c r="AB1" s="1" t="inlineStr">
        <is>
          <t>10年派息年數</t>
        </is>
      </c>
      <c r="AC1" s="1" t="inlineStr">
        <is>
          <t>葛拉漢檢查</t>
        </is>
      </c>
    </row>
    <row r="2">
      <c r="A2" s="12" t="inlineStr">
        <is>
          <t>00700</t>
        </is>
      </c>
      <c r="B2" s="13" t="inlineStr">
        <is>
          <t>腾讯控股</t>
        </is>
      </c>
      <c r="C2" s="12" t="n">
        <v>778561000000</v>
      </c>
      <c r="D2" s="12" t="n">
        <v>235508000000</v>
      </c>
      <c r="E2" s="12" t="n">
        <v>305848000000</v>
      </c>
      <c r="F2" s="12" t="n">
        <v>193325000000</v>
      </c>
      <c r="G2" s="12" t="n">
        <v>202308000000</v>
      </c>
      <c r="H2" s="12" t="n">
        <v>57.39</v>
      </c>
      <c r="I2" s="12" t="n">
        <v>33.21</v>
      </c>
      <c r="J2" s="12" t="n">
        <v>30.25</v>
      </c>
      <c r="K2" s="12" t="n">
        <v>24.83</v>
      </c>
      <c r="L2" s="12" t="n">
        <v>20.73</v>
      </c>
      <c r="M2" s="12" t="n">
        <v>22.71</v>
      </c>
      <c r="N2" s="12" t="n">
        <v>0.814677</v>
      </c>
      <c r="O2" s="12" t="n">
        <v>18.73</v>
      </c>
      <c r="P2" s="12" t="n">
        <v>43.39</v>
      </c>
      <c r="Q2" s="12" t="n">
        <v>0.415395</v>
      </c>
      <c r="R2" s="12" t="n">
        <v>1.287</v>
      </c>
      <c r="S2" s="12" t="n">
        <v>19.213957</v>
      </c>
      <c r="T2" s="12" t="n">
        <v>-12924000000</v>
      </c>
      <c r="U2" s="12" t="n">
        <v>918093000000</v>
      </c>
      <c r="V2" s="12" t="n">
        <v>10.76</v>
      </c>
      <c r="W2" s="12" t="n">
        <v>9.4</v>
      </c>
      <c r="X2" s="12" t="n">
        <v>22.45</v>
      </c>
      <c r="Y2" s="12" t="n">
        <v>8</v>
      </c>
      <c r="Z2" s="12" t="n">
        <v>18.58</v>
      </c>
      <c r="AA2" s="12" t="n">
        <v>9</v>
      </c>
      <c r="AB2" s="12" t="n">
        <v>10</v>
      </c>
      <c r="AC2" s="12" t="inlineStr">
        <is>
          <t>4/7</t>
        </is>
      </c>
    </row>
    <row r="3">
      <c r="A3" s="12" t="inlineStr">
        <is>
          <t>600519</t>
        </is>
      </c>
      <c r="B3" s="13" t="inlineStr">
        <is>
          <t>贵州茅台</t>
        </is>
      </c>
      <c r="C3" s="12" t="n">
        <v>173238481420.15</v>
      </c>
      <c r="D3" s="12" t="n">
        <v>84356973951.20999</v>
      </c>
      <c r="E3" s="12" t="n">
        <v>119093894077.08</v>
      </c>
      <c r="F3" s="12" t="n">
        <v>116730152217.62</v>
      </c>
      <c r="G3" s="12" t="n">
        <v>64728275253.3</v>
      </c>
      <c r="H3" s="12" t="n">
        <v>90.42</v>
      </c>
      <c r="I3" s="12" t="n">
        <v>65.48999999999999</v>
      </c>
      <c r="J3" s="12" t="n">
        <v>48.69</v>
      </c>
      <c r="K3" s="12" t="n">
        <v>67.38</v>
      </c>
      <c r="L3" s="12" t="n">
        <v>33.57</v>
      </c>
      <c r="M3" s="12" t="n">
        <v>32.72</v>
      </c>
      <c r="N3" s="12" t="n">
        <v>0.889428</v>
      </c>
      <c r="O3" s="12" t="n">
        <v>42.62</v>
      </c>
      <c r="P3" s="12" t="n">
        <v>15.19</v>
      </c>
      <c r="Q3" s="12" t="n">
        <v>0.0009700000000000001</v>
      </c>
      <c r="R3" s="12" t="n">
        <v>5.589543</v>
      </c>
      <c r="S3" s="12" t="n">
        <v>2498.931082</v>
      </c>
      <c r="T3" s="12" t="n">
        <v>53275114111.02</v>
      </c>
      <c r="U3" s="12" t="n">
        <v>147198786.54</v>
      </c>
      <c r="V3" s="12" t="n">
        <v>10.49</v>
      </c>
      <c r="W3" s="12" t="n">
        <v>11.92</v>
      </c>
      <c r="X3" s="12" t="n">
        <v>17.8</v>
      </c>
      <c r="Y3" s="12" t="n">
        <v>12.05</v>
      </c>
      <c r="Z3" s="12" t="n">
        <v>80.15000000000001</v>
      </c>
      <c r="AA3" s="12" t="n">
        <v>10</v>
      </c>
      <c r="AB3" s="12" t="n">
        <v>10</v>
      </c>
      <c r="AC3" s="12" t="inlineStr">
        <is>
          <t>5/7</t>
        </is>
      </c>
    </row>
  </sheetData>
  <autoFilter ref="A1:AC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16" customWidth="1" min="3" max="3"/>
    <col width="9.4" customWidth="1" min="4" max="4"/>
    <col width="20" customWidth="1" min="5" max="5"/>
    <col width="20" customWidth="1" min="6" max="6"/>
    <col width="9.4" customWidth="1" min="7" max="7"/>
    <col width="46" customWidth="1" min="8" max="8"/>
    <col width="96" customWidth="1" min="9" max="9"/>
    <col width="34" customWidth="1" min="10" max="10"/>
    <col width="13.8" customWidth="1" min="11" max="11"/>
    <col width="13.8" customWidth="1" min="12" max="12"/>
    <col width="26" customWidth="1" min="13" max="13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AI推薦度</t>
        </is>
      </c>
      <c r="D1" s="1" t="inlineStr">
        <is>
          <t>評級</t>
        </is>
      </c>
      <c r="E1" s="1" t="inlineStr">
        <is>
          <t>估值區間(模型)</t>
        </is>
      </c>
      <c r="F1" s="1" t="inlineStr">
        <is>
          <t>估值區間(AI)</t>
        </is>
      </c>
      <c r="G1" s="1" t="inlineStr">
        <is>
          <t>信心</t>
        </is>
      </c>
      <c r="H1" s="1" t="inlineStr">
        <is>
          <t>一句話重點(不考慮價格)</t>
        </is>
      </c>
      <c r="I1" s="1" t="inlineStr">
        <is>
          <t>200字投資建議</t>
        </is>
      </c>
      <c r="J1" s="1" t="inlineStr">
        <is>
          <t>主要風險</t>
        </is>
      </c>
      <c r="K1" s="1" t="inlineStr">
        <is>
          <t>AI模型</t>
        </is>
      </c>
      <c r="L1" s="1" t="inlineStr">
        <is>
          <t>AI日期</t>
        </is>
      </c>
      <c r="M1" s="1" t="inlineStr">
        <is>
          <t>品質旗標</t>
        </is>
      </c>
    </row>
    <row r="2" ht="118" customHeight="1">
      <c r="A2" s="2" t="inlineStr">
        <is>
          <t>00700</t>
        </is>
      </c>
      <c r="B2" s="3" t="inlineStr">
        <is>
          <t>腾讯控股</t>
        </is>
      </c>
      <c r="C2" s="2" t="n">
        <v>8.5</v>
      </c>
      <c r="D2" s="2" t="inlineStr">
        <is>
          <t>★★★★☆</t>
        </is>
      </c>
      <c r="E2" s="6" t="inlineStr">
        <is>
          <t>便宜</t>
        </is>
      </c>
      <c r="F2" s="2" t="inlineStr">
        <is>
          <t>便宜</t>
        </is>
      </c>
      <c r="G2" s="2" t="n">
        <v>95.90000000000001</v>
      </c>
      <c r="H2" s="3" t="inlineStr">
        <is>
          <t>高毛利57.39%支撐強勁現金流，ROE十年中位22.71%穩定成長</t>
        </is>
      </c>
      <c r="I2" s="3" t="inlineStr">
        <is>
          <t>獲利品質卓越，TTM毛利率57.39%與自由現金流率24.83%彰顯強勁現金生成能力。資產負債結構穩健，負債權益比0.415、利息保障倍數19.21，但流動比率1.287低於格雷厄姆標準。成長動能強勁，營收CAGR_10年22.45%，ROIC 18.73%佐證高效資本配置。估值模型加權內在價值659.74 HKD，現價442.8僅為其67.1%，安全邊際25%且信心分數95.9。明確結論：價格顯著低估，建議買入並追蹤營收CAGR_3年與ROE穩定度指標。</t>
        </is>
      </c>
      <c r="J2" s="3" t="inlineStr">
        <is>
          <t>負債權益比0.415偏高 / 流動比率1.287低於安全標準 / 報表與交易幣別匯率波動風險</t>
        </is>
      </c>
      <c r="K2" s="2" t="inlineStr">
        <is>
          <t>qwen-plus</t>
        </is>
      </c>
      <c r="L2" s="2" t="inlineStr">
        <is>
          <t>2026-09-04</t>
        </is>
      </c>
      <c r="M2" s="3" t="inlineStr"/>
    </row>
    <row r="3" ht="118" customHeight="1">
      <c r="A3" s="7" t="inlineStr">
        <is>
          <t>600519</t>
        </is>
      </c>
      <c r="B3" s="8" t="inlineStr">
        <is>
          <t>贵州茅台</t>
        </is>
      </c>
      <c r="C3" s="7" t="n">
        <v>8.5</v>
      </c>
      <c r="D3" s="7" t="inlineStr">
        <is>
          <t>★★★★☆</t>
        </is>
      </c>
      <c r="E3" s="11" t="inlineStr">
        <is>
          <t>合理</t>
        </is>
      </c>
      <c r="F3" s="7" t="inlineStr">
        <is>
          <t>合理</t>
        </is>
      </c>
      <c r="G3" s="7" t="n">
        <v>81.5</v>
      </c>
      <c r="H3" s="8" t="inlineStr">
        <is>
          <t>毛利率90.42%，ROIC 42.62%，淨現金532.75億，營收十年CAGR 17.8%</t>
        </is>
      </c>
      <c r="I3" s="8" t="inlineStr">
        <is>
          <t>獲利品質卓越：TTM淨利率48.69%、自由現金流率67.38%，經營現金流119093.9百萬遠超淨利。資產負債極穩健：負債佔資產僅15.19%，流動比率5.59，利息保障倍數2498.93，淨現金53275.1百萬。成長與再投資報酬強勁：營收十年CAGR 17.8%，ROIC 42.62%且ROE穩定度0.889，資本支出僅2363.7百萬。估值模型顯示加權內在價值1186.83，現價1316.81略高於合理區間上限1364.86，安全邊際未達（安全買點890.13）。結論：財務體質頂尖但估值合理偏高，建議密切觀察營收CAGR_3年、ROIC、自由現金流率及價格/內在價值比動向。</t>
        </is>
      </c>
      <c r="J3" s="8" t="inlineStr">
        <is>
          <t>營收增速放緩風險 / 政策監管不確定性 / 高估值波動風險</t>
        </is>
      </c>
      <c r="K3" s="7" t="inlineStr">
        <is>
          <t>qwen-plus</t>
        </is>
      </c>
      <c r="L3" s="7" t="inlineStr">
        <is>
          <t>2026-09-07</t>
        </is>
      </c>
      <c r="M3" s="8" t="inlineStr"/>
    </row>
  </sheetData>
  <autoFilter ref="A1:M3"/>
  <conditionalFormatting sqref="C2:C3">
    <cfRule type="dataBar" priority="1">
      <dataBar>
        <cfvo type="num" val="0"/>
        <cfvo type="num" val="10"/>
        <color rgb="00FF9500"/>
      </dataBar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8" customWidth="1" min="1" max="1"/>
    <col width="120" customWidth="1" min="2" max="2"/>
  </cols>
  <sheetData>
    <row r="1" ht="78" customHeight="1">
      <c r="A1" s="15" t="inlineStr">
        <is>
          <t>章節</t>
        </is>
      </c>
      <c r="B1" s="16" t="inlineStr">
        <is>
          <t>內容</t>
        </is>
      </c>
    </row>
    <row r="2" ht="78" customHeight="1">
      <c r="A2" t="inlineStr">
        <is>
          <t>① 資料來源</t>
        </is>
      </c>
      <c r="B2" s="17" t="inlineStr">
        <is>
          <t>東方財富 F10 標準化財報（港股→港交所披露易；A股→滬深北定期報告；美股→SEC 10-K/10-Q）；行情 push2 即時報價；匯率 open.er-api / frankfurter。全部原始回應留存於 data/raw。</t>
        </is>
      </c>
    </row>
    <row r="3" ht="78" customHeight="1">
      <c r="A3" t="inlineStr">
        <is>
          <t>② 內在價值 8 模型</t>
        </is>
      </c>
      <c r="B3" s="17" t="inlineStr">
        <is>
          <t>①葛拉漢數字√(22.5×EPS₃ᵃᵛᵍ×BVPS) ②葛拉漢修正公式EPS×(8.5+2g)×4.4/Y ③NCAV清算價值(下限) ④巴菲特業主盈餘10年兩段DCF(門檻報酬=無風險利率+5.5%) ⑤EPV常態NOPAT/WACC+淨現金 ⑥達摩達蘭FCFF兩段DCF(銷售/資本再投資+合成評級WACC+ROIC推導終值再投資率) ⑦剩餘收益合理PB=(ROE−g)/(r−g) ⑧股利折現。</t>
        </is>
      </c>
    </row>
    <row r="4" ht="78" customHeight="1">
      <c r="A4" t="inlineStr">
        <is>
          <t>③ 加權方式</t>
        </is>
      </c>
      <c r="B4" s="17" t="inlineStr">
        <is>
          <t>依公司畫像（financial / growth / mature / loss_making）給各模型權重後加權；同時取所有模型的 P25~P75 作為價值區間，避免單一模型誤導。</t>
        </is>
      </c>
    </row>
    <row r="5" ht="78" customHeight="1">
      <c r="A5" t="inlineStr">
        <is>
          <t>④ 估值區間定義</t>
        </is>
      </c>
      <c r="B5" s="17" t="inlineStr">
        <is>
          <t>價格/內在價值 ≤0.50 非常便宜；≤0.75 便宜；≤1.15 合理；≤1.50 昂貴；&gt;1.50 非常昂貴。區間切換設 2% 遲滯緩衝，避免邊界抖動誤報。</t>
        </is>
      </c>
    </row>
    <row r="6" ht="78" customHeight="1">
      <c r="A6" t="inlineStr">
        <is>
          <t>⑤ 信心分數</t>
        </is>
      </c>
      <c r="B6" s="17" t="inlineStr">
        <is>
          <t>由資料完整度、歷史年數、模型分歧度、獲利連續性、可用模型數 5 項加權；低於 50 建議只當篩選線索，不作決策依據。此分數由系統自動計算，不必手填。</t>
        </is>
      </c>
    </row>
    <row r="7" ht="78" customHeight="1">
      <c r="A7" t="inlineStr">
        <is>
          <t>⑥ 安全邊際 MOS</t>
        </is>
      </c>
      <c r="B7" s="17" t="inlineStr">
        <is>
          <t>全域預設 25%（settings.yaml valuation.margin_of_safety）；watchlist 的 mos= 可覆寫個股。安全買點 = 內在價值 × (1−MOS)。此欄是格雷厄姆買入紀律，不會改五檔區間切點。</t>
        </is>
      </c>
    </row>
    <row r="8" ht="78" customHeight="1">
      <c r="A8" t="inlineStr">
        <is>
          <t>⑦ 幣別處理</t>
        </is>
      </c>
      <c r="B8" s="17" t="inlineStr">
        <is>
          <t>財報幣別≠交易幣別者（如騰訊人民幣報表/港幣交易）已換算；並以財報 EPS 反推股數交叉驗證行情總股本，偏離 &gt;25% 自動改用反推值並列於「警示」。</t>
        </is>
      </c>
    </row>
    <row r="9" ht="78" customHeight="1">
      <c r="A9" t="inlineStr">
        <is>
          <t>⑧ AI 反幻覺</t>
        </is>
      </c>
      <c r="B9" s="17" t="inlineStr">
        <is>
          <t>AI 僅獲得本檔內數字與精簡 Excel 附件，Prompt 禁止外部事實；輸出經 JSON Schema 驗證與可疑敘述掃描，結果記於「品質旗標」欄。旗標非空者請人工複核。</t>
        </is>
      </c>
    </row>
    <row r="10" ht="78" customHeight="1">
      <c r="A10" t="inlineStr">
        <is>
          <t>⑨ 已知限制</t>
        </is>
      </c>
      <c r="B10" s="17" t="inlineStr">
        <is>
          <t>①合成評級/β/ERP 為近似值，標 [年度校準] 者需每年 1 月手動更新 ②金融股 FCFF 不適用，已改以剩餘收益與 DDM 為主 ③一次性損益與會計政策變更未逐項調整 ④終值佔比高的個股對假設極敏感（見估值明細）。</t>
        </is>
      </c>
    </row>
    <row r="11" ht="78" customHeight="1">
      <c r="A11" t="inlineStr">
        <is>
          <t>⑩ 免責聲明</t>
        </is>
      </c>
      <c r="B11" s="17" t="inlineStr">
        <is>
          <t>本檔為程式化研究輔助，非投資建議。所有估值皆為假設下的條件性結論，請自行覆核假設與原始財報後獨立決策；投資有風險。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2026-09-07T05:12:52Z</dcterms:created>
  <dcterms:modified xmlns:dcterms="http://purl.org/dc/terms/" xmlns:xsi="http://www.w3.org/2001/XMLSchema-instance" xsi:type="dcterms:W3CDTF">2026-09-07T05:12:52Z</dcterms:modified>
</cp:coreProperties>
</file>