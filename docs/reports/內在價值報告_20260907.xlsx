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'投資總覽'!$A$1:$AF$2</definedName>
    <definedName name="_xlnm._FilterDatabase" localSheetId="1" hidden="1">'估值模型明細'!$A$1:$Q$2</definedName>
    <definedName name="_xlnm._FilterDatabase" localSheetId="2" hidden="1">'五檔價位帶'!$A$1:$L$2</definedName>
    <definedName name="_xlnm._FilterDatabase" localSheetId="3" hidden="1">'關鍵財務指標'!$A$1:$AC$2</definedName>
    <definedName name="_xlnm._FilterDatabase" localSheetId="4" hidden="1">'AI投資建議'!$A$1:$L$2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14" customWidth="1" min="4" max="4"/>
    <col width="9.4" customWidth="1" min="5" max="5"/>
    <col width="9.4" customWidth="1" min="6" max="6"/>
    <col width="12" customWidth="1" min="7" max="7"/>
    <col width="9.4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行業</t>
        </is>
      </c>
      <c r="E1" s="1" t="inlineStr">
        <is>
          <t>畫像</t>
        </is>
      </c>
      <c r="F1" s="1" t="inlineStr">
        <is>
          <t>幣別</t>
        </is>
      </c>
      <c r="G1" s="1" t="inlineStr">
        <is>
          <t>標籤</t>
        </is>
      </c>
      <c r="H1" s="1" t="inlineStr">
        <is>
          <t>現價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00700</t>
        </is>
      </c>
      <c r="C2" s="3" t="inlineStr">
        <is>
          <t>腾讯控股</t>
        </is>
      </c>
      <c r="D2" s="3" t="inlineStr"/>
      <c r="E2" s="2" t="inlineStr">
        <is>
          <t>mature</t>
        </is>
      </c>
      <c r="F2" s="2" t="inlineStr">
        <is>
          <t>HKD</t>
        </is>
      </c>
      <c r="G2" s="3" t="inlineStr"/>
      <c r="H2" s="4" t="n">
        <v>438.4</v>
      </c>
      <c r="I2" s="4" t="n">
        <v>659.7924</v>
      </c>
      <c r="J2" s="4" t="n">
        <v>459.3181</v>
      </c>
      <c r="K2" s="4" t="n">
        <v>609.7472</v>
      </c>
      <c r="L2" s="5" t="n">
        <v>-33.6</v>
      </c>
      <c r="M2" s="5" t="n">
        <v>25</v>
      </c>
      <c r="N2" s="4" t="n">
        <v>494.8443</v>
      </c>
      <c r="O2" s="2" t="inlineStr">
        <is>
          <t>是</t>
        </is>
      </c>
      <c r="P2" s="6" t="inlineStr">
        <is>
          <t>便宜</t>
        </is>
      </c>
      <c r="Q2" s="2" t="inlineStr">
        <is>
          <t>便宜</t>
        </is>
      </c>
      <c r="R2" s="2" t="n">
        <v>9</v>
      </c>
      <c r="S2" s="2" t="inlineStr">
        <is>
          <t>★★★★☆</t>
        </is>
      </c>
      <c r="T2" s="2" t="n">
        <v>7</v>
      </c>
      <c r="U2" s="2" t="n">
        <v>9.5</v>
      </c>
      <c r="V2" s="2" t="n">
        <v>8.5</v>
      </c>
      <c r="W2" s="2" t="n">
        <v>95.90000000000001</v>
      </c>
      <c r="X2" s="3" t="inlineStr">
        <is>
          <t>毛利率57%，ROE 21%，自由現金流率25%，負債權益比0.42。</t>
        </is>
      </c>
      <c r="Y2" s="5" t="n">
        <v>20.7</v>
      </c>
      <c r="Z2" s="5" t="n">
        <v>18.7</v>
      </c>
      <c r="AA2" s="5" t="n">
        <v>57.4</v>
      </c>
      <c r="AB2" s="5" t="n">
        <v>43.4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2026-09-07</t>
        </is>
      </c>
      <c r="AF2" s="3" t="inlineStr">
        <is>
          <t>報表幣別 CNY → 交易幣別 HKD，匯率 1.1641</t>
        </is>
      </c>
    </row>
  </sheetData>
  <autoFilter ref="A1:AF2"/>
  <conditionalFormatting sqref="R2">
    <cfRule type="dataBar" priority="1">
      <dataBar>
        <cfvo type="num" val="0"/>
        <cfvo type="num" val="10"/>
        <color rgb="00FF9500"/>
      </dataBar>
    </cfRule>
  </conditionalFormatting>
  <conditionalFormatting sqref="L2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7" t="inlineStr">
        <is>
          <t>00700</t>
        </is>
      </c>
      <c r="B2" s="8" t="inlineStr">
        <is>
          <t>腾讯控股</t>
        </is>
      </c>
      <c r="C2" s="9" t="n">
        <v>438.4</v>
      </c>
      <c r="D2" s="9" t="n">
        <v>659.7924</v>
      </c>
      <c r="E2" s="9" t="n">
        <v>282.242</v>
      </c>
      <c r="F2" s="9" t="n">
        <v>469.194</v>
      </c>
      <c r="G2" s="9" t="inlineStr"/>
      <c r="H2" s="9" t="n">
        <v>684.98</v>
      </c>
      <c r="I2" s="9" t="n">
        <v>368.9238</v>
      </c>
      <c r="J2" s="9" t="n">
        <v>459.3181</v>
      </c>
      <c r="K2" s="9" t="n">
        <v>3850.9867</v>
      </c>
      <c r="L2" s="9" t="n">
        <v>609.7472</v>
      </c>
      <c r="M2" s="9" t="n">
        <v>9.16</v>
      </c>
      <c r="N2" s="9" t="n">
        <v>9.949999999999999</v>
      </c>
      <c r="O2" s="7" t="n">
        <v>1</v>
      </c>
      <c r="P2" s="8" t="inlineStr">
        <is>
          <t>{"graham_number": 0.102, "graham_formula": 0.102, "buffett_oe": 0.245, "epv": 0.204, "damodaran_fcff": 0.245, "ri_pb": 0.051, "ddm": 0.051}</t>
        </is>
      </c>
      <c r="Q2" s="8" t="inlineStr">
        <is>
          <t>{"graham_number": {"EPS(3年均)": 20.938, "BVPS": 124.7757}, "graham_formula": {"g(上限10%)": 0.08, "Y公司債": 0.056}, "ncav": {"NCAV/股": 0.0, "NNWC/股": -47.8878, "net-net買點": 0.0}, "buffett_oe": {"業主盈餘(TTM,中位3年)": 202308000000.0, "g1": 0.1058, "永續g": 0.03, "門檻報酬r": 0.0905, "非營運投資(折70%)": 642665100000.0}, "epv": {"常態營業利益率": 0.3189, "常態NOPAT": 206641814252.0, "WACC": 0.0916, "淨現金": -12924000000.0}, "damodaran_fcff": {"銷售/資本": 0.8, "g1": 0.1076, "永續g": 0.03, "目標營業利益率": 0.3189, "WACC": 0.0916, "終值WACC": 0.0995, "有效稅率": 0.1678, "終值佔比": 0.565}, "ri_pb": {"常態ROE": 0.2271, "股權成本r": 0.0995, "留存成長g": 0.0945, "合理PB": 26.512}, "ddm": {"DPS": 4.8076, "g": 0.0895, "r": 0.0995}}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幣別</t>
        </is>
      </c>
      <c r="D1" s="1" t="inlineStr">
        <is>
          <t>現價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" t="inlineStr">
        <is>
          <t>00700</t>
        </is>
      </c>
      <c r="B2" s="3" t="inlineStr">
        <is>
          <t>腾讯控股</t>
        </is>
      </c>
      <c r="C2" s="2" t="inlineStr">
        <is>
          <t>HKD</t>
        </is>
      </c>
      <c r="D2" s="4" t="n">
        <v>438.4</v>
      </c>
      <c r="E2" s="4" t="n">
        <v>329.8962</v>
      </c>
      <c r="F2" s="4" t="n">
        <v>494.8443</v>
      </c>
      <c r="G2" s="4" t="n">
        <v>758.7613</v>
      </c>
      <c r="H2" s="4" t="n">
        <v>989.6886</v>
      </c>
      <c r="I2" s="4" t="n">
        <v>989.6886</v>
      </c>
      <c r="J2" s="6" t="inlineStr">
        <is>
          <t>便宜</t>
        </is>
      </c>
      <c r="K2" s="4" t="n">
        <v>0.6645</v>
      </c>
      <c r="L2" s="4" t="n">
        <v>494.8443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13.8" customWidth="1" min="7" max="7"/>
    <col width="13.8" customWidth="1" min="8" max="8"/>
    <col width="18.2" customWidth="1" min="9" max="9"/>
    <col width="13.8" customWidth="1" min="10" max="10"/>
    <col width="16" customWidth="1" min="11" max="11"/>
    <col width="13.8" customWidth="1" min="12" max="12"/>
    <col width="20" customWidth="1" min="13" max="13"/>
    <col width="18.2" customWidth="1" min="14" max="14"/>
    <col width="16" customWidth="1" min="15" max="15"/>
    <col width="13.8" customWidth="1" min="16" max="16"/>
    <col width="16" customWidth="1" min="17" max="17"/>
    <col width="13.8" customWidth="1" min="18" max="18"/>
    <col width="13.8" customWidth="1" min="19" max="19"/>
    <col width="11.6" customWidth="1" min="20" max="20"/>
    <col width="16" customWidth="1" min="21" max="21"/>
    <col width="20" customWidth="1" min="22" max="22"/>
    <col width="20" customWidth="1" min="23" max="23"/>
    <col width="20" customWidth="1" min="24" max="24"/>
    <col width="20" customWidth="1" min="25" max="25"/>
    <col width="13.8" customWidth="1" min="26" max="26"/>
    <col width="20" customWidth="1" min="27" max="27"/>
    <col width="20" customWidth="1" min="28" max="28"/>
    <col width="16" customWidth="1" min="29" max="29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營收TTM</t>
        </is>
      </c>
      <c r="D1" s="1" t="inlineStr">
        <is>
          <t>歸母淨利TTM</t>
        </is>
      </c>
      <c r="E1" s="1" t="inlineStr">
        <is>
          <t>經營現金流TTM</t>
        </is>
      </c>
      <c r="F1" s="1" t="inlineStr">
        <is>
          <t>自由現金流TTM</t>
        </is>
      </c>
      <c r="G1" s="1" t="inlineStr">
        <is>
          <t>業主盈餘</t>
        </is>
      </c>
      <c r="H1" s="1" t="inlineStr">
        <is>
          <t>毛利率%</t>
        </is>
      </c>
      <c r="I1" s="1" t="inlineStr">
        <is>
          <t>營業利益率%</t>
        </is>
      </c>
      <c r="J1" s="1" t="inlineStr">
        <is>
          <t>淨利率%</t>
        </is>
      </c>
      <c r="K1" s="1" t="inlineStr">
        <is>
          <t>FCF率%</t>
        </is>
      </c>
      <c r="L1" s="1" t="inlineStr">
        <is>
          <t>ROE%</t>
        </is>
      </c>
      <c r="M1" s="1" t="inlineStr">
        <is>
          <t>ROE10年中位%</t>
        </is>
      </c>
      <c r="N1" s="1" t="inlineStr">
        <is>
          <t>ROE穩定度</t>
        </is>
      </c>
      <c r="O1" s="1" t="inlineStr">
        <is>
          <t>ROIC%</t>
        </is>
      </c>
      <c r="P1" s="1" t="inlineStr">
        <is>
          <t>負債率%</t>
        </is>
      </c>
      <c r="Q1" s="1" t="inlineStr">
        <is>
          <t>負債權益比</t>
        </is>
      </c>
      <c r="R1" s="1" t="inlineStr">
        <is>
          <t>流動比率</t>
        </is>
      </c>
      <c r="S1" s="1" t="inlineStr">
        <is>
          <t>利息保障</t>
        </is>
      </c>
      <c r="T1" s="1" t="inlineStr">
        <is>
          <t>淨現金</t>
        </is>
      </c>
      <c r="U1" s="1" t="inlineStr">
        <is>
          <t>非營運投資</t>
        </is>
      </c>
      <c r="V1" s="1" t="inlineStr">
        <is>
          <t>營收CAGR3%</t>
        </is>
      </c>
      <c r="W1" s="1" t="inlineStr">
        <is>
          <t>營收CAGR5%</t>
        </is>
      </c>
      <c r="X1" s="1" t="inlineStr">
        <is>
          <t>營收CAGR10%</t>
        </is>
      </c>
      <c r="Y1" s="1" t="inlineStr">
        <is>
          <t>EPS_CAGR5%</t>
        </is>
      </c>
      <c r="Z1" s="1" t="inlineStr">
        <is>
          <t>派息率%</t>
        </is>
      </c>
      <c r="AA1" s="1" t="inlineStr">
        <is>
          <t>10年獲利年數</t>
        </is>
      </c>
      <c r="AB1" s="1" t="inlineStr">
        <is>
          <t>10年派息年數</t>
        </is>
      </c>
      <c r="AC1" s="1" t="inlineStr">
        <is>
          <t>葛拉漢檢查</t>
        </is>
      </c>
    </row>
    <row r="2">
      <c r="A2" s="7" t="inlineStr">
        <is>
          <t>00700</t>
        </is>
      </c>
      <c r="B2" s="8" t="inlineStr">
        <is>
          <t>腾讯控股</t>
        </is>
      </c>
      <c r="C2" s="7" t="n">
        <v>778561000000</v>
      </c>
      <c r="D2" s="7" t="n">
        <v>235508000000</v>
      </c>
      <c r="E2" s="7" t="n">
        <v>305848000000</v>
      </c>
      <c r="F2" s="7" t="n">
        <v>193325000000</v>
      </c>
      <c r="G2" s="7" t="n">
        <v>202308000000</v>
      </c>
      <c r="H2" s="7" t="n">
        <v>57.39</v>
      </c>
      <c r="I2" s="7" t="n">
        <v>33.21</v>
      </c>
      <c r="J2" s="7" t="n">
        <v>30.25</v>
      </c>
      <c r="K2" s="7" t="n">
        <v>24.83</v>
      </c>
      <c r="L2" s="7" t="n">
        <v>20.73</v>
      </c>
      <c r="M2" s="7" t="n">
        <v>22.71</v>
      </c>
      <c r="N2" s="7" t="n">
        <v>0.814677</v>
      </c>
      <c r="O2" s="7" t="n">
        <v>18.73</v>
      </c>
      <c r="P2" s="7" t="n">
        <v>43.39</v>
      </c>
      <c r="Q2" s="7" t="n">
        <v>0.415395</v>
      </c>
      <c r="R2" s="7" t="n">
        <v>1.287</v>
      </c>
      <c r="S2" s="7" t="n">
        <v>19.213957</v>
      </c>
      <c r="T2" s="7" t="n">
        <v>-12924000000</v>
      </c>
      <c r="U2" s="7" t="n">
        <v>918093000000</v>
      </c>
      <c r="V2" s="7" t="n">
        <v>10.76</v>
      </c>
      <c r="W2" s="7" t="n">
        <v>9.4</v>
      </c>
      <c r="X2" s="7" t="n">
        <v>22.45</v>
      </c>
      <c r="Y2" s="7" t="n">
        <v>8</v>
      </c>
      <c r="Z2" s="7" t="n">
        <v>18.58</v>
      </c>
      <c r="AA2" s="7" t="n">
        <v>9</v>
      </c>
      <c r="AB2" s="7" t="n">
        <v>10</v>
      </c>
      <c r="AC2" s="7" t="inlineStr">
        <is>
          <t>4/7</t>
        </is>
      </c>
    </row>
  </sheetData>
  <autoFilter ref="A1:A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16" customWidth="1" min="3" max="3"/>
    <col width="9.4" customWidth="1" min="4" max="4"/>
    <col width="20" customWidth="1" min="5" max="5"/>
    <col width="20" customWidth="1" min="6" max="6"/>
    <col width="9.4" customWidth="1" min="7" max="7"/>
    <col width="46" customWidth="1" min="8" max="8"/>
    <col width="96" customWidth="1" min="9" max="9"/>
    <col width="34" customWidth="1" min="10" max="10"/>
    <col width="13.8" customWidth="1" min="11" max="11"/>
    <col width="18.2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AI推薦度</t>
        </is>
      </c>
      <c r="D1" s="1" t="inlineStr">
        <is>
          <t>評級</t>
        </is>
      </c>
      <c r="E1" s="1" t="inlineStr">
        <is>
          <t>估值區間(模型)</t>
        </is>
      </c>
      <c r="F1" s="1" t="inlineStr">
        <is>
          <t>估值區間(AI)</t>
        </is>
      </c>
      <c r="G1" s="1" t="inlineStr">
        <is>
          <t>信心</t>
        </is>
      </c>
      <c r="H1" s="1" t="inlineStr">
        <is>
          <t>重中之重</t>
        </is>
      </c>
      <c r="I1" s="1" t="inlineStr">
        <is>
          <t>投資分析及建議</t>
        </is>
      </c>
      <c r="J1" s="1" t="inlineStr">
        <is>
          <t>主要風險</t>
        </is>
      </c>
      <c r="K1" s="1" t="inlineStr">
        <is>
          <t>AI模型</t>
        </is>
      </c>
      <c r="L1" s="1" t="inlineStr">
        <is>
          <t>AI分析日期</t>
        </is>
      </c>
    </row>
    <row r="2" ht="118" customHeight="1">
      <c r="A2" s="2" t="inlineStr">
        <is>
          <t>00700</t>
        </is>
      </c>
      <c r="B2" s="3" t="inlineStr">
        <is>
          <t>腾讯控股</t>
        </is>
      </c>
      <c r="C2" s="2" t="n">
        <v>9</v>
      </c>
      <c r="D2" s="2" t="inlineStr">
        <is>
          <t>★★★★☆</t>
        </is>
      </c>
      <c r="E2" s="6" t="inlineStr">
        <is>
          <t>便宜</t>
        </is>
      </c>
      <c r="F2" s="2" t="inlineStr">
        <is>
          <t>便宜</t>
        </is>
      </c>
      <c r="G2" s="2" t="n">
        <v>95.90000000000001</v>
      </c>
      <c r="H2" s="3" t="inlineStr">
        <is>
          <t>毛利率57%，ROE 21%，自由現金流率25%，負債權益比0.42。</t>
        </is>
      </c>
      <c r="I2" s="3" t="inlineStr">
        <is>
          <t>獲利品質優異，毛利率57.39%、營業利益率33.21%連續十年穩定，自由現金流率24.83%（TTM自由現金流193325百萬），業主盈餘202308百萬支撐現金生成能力。資產負債結構穩健，負債權益比0.415、利息保障倍數19.21，但流動比率1.287偏低且淨現金-12924百萬需關注。成長動能持續，營收CAGR_10年22.45%，ROIC 18.73%顯著高於WACC 9.16%，資本支出112523百萬再投資效率佳。估值模型加權內在價值659.7924 HKD，價格/內在價值0.6645，安全邊際25%達成，五檔價位帶確認「便宜」。建議買入，密切觀察營收CAGR_3年10.76%趨勢及ROE穩定度0.8147變化。</t>
        </is>
      </c>
      <c r="J2" s="3" t="inlineStr">
        <is>
          <t>流動比率1.287低於安全水平 / 淨現金-12924百萬輕微負債 / 營收CAGR_3年10.76%放緩</t>
        </is>
      </c>
      <c r="K2" s="2" t="inlineStr">
        <is>
          <t>qwen-plus</t>
        </is>
      </c>
      <c r="L2" s="2" t="inlineStr">
        <is>
          <t>2026-09-07</t>
        </is>
      </c>
    </row>
  </sheetData>
  <autoFilter ref="A1:L2"/>
  <conditionalFormatting sqref="C2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10" t="inlineStr">
        <is>
          <t>章節</t>
        </is>
      </c>
      <c r="B1" s="11" t="inlineStr">
        <is>
          <t>內容</t>
        </is>
      </c>
    </row>
    <row r="2" ht="78" customHeight="1">
      <c r="A2" t="inlineStr">
        <is>
          <t>① 資料來源</t>
        </is>
      </c>
      <c r="B2" s="12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12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12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12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12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12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12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12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12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12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2026-09-07T14:27:30Z</dcterms:created>
  <dcterms:modified xmlns:dcterms="http://purl.org/dc/terms/" xmlns:xsi="http://www.w3.org/2001/XMLSchema-instance" xsi:type="dcterms:W3CDTF">2026-09-07T14:27:30Z</dcterms:modified>
</cp:coreProperties>
</file>