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'投資總覽'!$A$1:$AF$4</definedName>
    <definedName name="_xlnm._FilterDatabase" localSheetId="1" hidden="1">'估值模型明細'!$A$1:$Q$4</definedName>
    <definedName name="_xlnm._FilterDatabase" localSheetId="2" hidden="1">'五檔價位帶'!$A$1:$L$4</definedName>
    <definedName name="_xlnm._FilterDatabase" localSheetId="3" hidden="1">'關鍵財務指標'!$A$1:$AC$4</definedName>
    <definedName name="_xlnm._FilterDatabase" localSheetId="4" hidden="1">'AI投資建議'!$A$1:$M$4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13.8" customWidth="1" min="16" max="16"/>
    <col width="13.8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</t>
        </is>
      </c>
      <c r="Q1" s="1" t="inlineStr">
        <is>
          <t>AI區間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一句話重點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00700</t>
        </is>
      </c>
      <c r="C2" s="3" t="inlineStr">
        <is>
          <t>腾讯控股</t>
        </is>
      </c>
      <c r="D2" s="3" t="inlineStr"/>
      <c r="E2" s="2" t="inlineStr">
        <is>
          <t>mature</t>
        </is>
      </c>
      <c r="F2" s="2" t="inlineStr">
        <is>
          <t>HKD</t>
        </is>
      </c>
      <c r="G2" s="3" t="inlineStr"/>
      <c r="H2" s="4" t="n">
        <v>442.8</v>
      </c>
      <c r="I2" s="4" t="n">
        <v>659.7439000000001</v>
      </c>
      <c r="J2" s="4" t="n">
        <v>459.2987</v>
      </c>
      <c r="K2" s="4" t="n">
        <v>609.7476</v>
      </c>
      <c r="L2" s="5" t="n">
        <v>-32.9</v>
      </c>
      <c r="M2" s="5" t="n">
        <v>25</v>
      </c>
      <c r="N2" s="4" t="n">
        <v>494.8079</v>
      </c>
      <c r="O2" s="2" t="inlineStr">
        <is>
          <t>是</t>
        </is>
      </c>
      <c r="P2" s="6" t="inlineStr">
        <is>
          <t>便宜</t>
        </is>
      </c>
      <c r="Q2" s="2" t="inlineStr">
        <is>
          <t>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95.90000000000001</v>
      </c>
      <c r="X2" s="3" t="inlineStr">
        <is>
          <t>高毛利57.39%支撐強勁現金流，ROE十年中位22.71%穩定成長</t>
        </is>
      </c>
      <c r="Y2" s="5" t="n">
        <v>20.7</v>
      </c>
      <c r="Z2" s="5" t="n">
        <v>18.7</v>
      </c>
      <c r="AA2" s="5" t="n">
        <v>57.4</v>
      </c>
      <c r="AB2" s="5" t="n">
        <v>43.4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2026-09-04</t>
        </is>
      </c>
      <c r="AF2" s="3" t="inlineStr">
        <is>
          <t>報表幣別 CNY → 交易幣別 HKD，匯率 1.1641</t>
        </is>
      </c>
    </row>
    <row r="3">
      <c r="A3" s="7" t="inlineStr">
        <is>
          <t>CN</t>
        </is>
      </c>
      <c r="B3" s="7" t="inlineStr">
        <is>
          <t>600519</t>
        </is>
      </c>
      <c r="C3" s="8" t="inlineStr">
        <is>
          <t>贵州茅台</t>
        </is>
      </c>
      <c r="D3" s="8" t="inlineStr"/>
      <c r="E3" s="7" t="inlineStr">
        <is>
          <t>mature</t>
        </is>
      </c>
      <c r="F3" s="7" t="inlineStr">
        <is>
          <t>CNY</t>
        </is>
      </c>
      <c r="G3" s="8" t="inlineStr"/>
      <c r="H3" s="9" t="n">
        <v>1316.81</v>
      </c>
      <c r="I3" s="9" t="n">
        <v>1186.8339</v>
      </c>
      <c r="J3" s="9" t="n">
        <v>838.7816</v>
      </c>
      <c r="K3" s="9" t="n">
        <v>2058.441</v>
      </c>
      <c r="L3" s="10" t="n">
        <v>11</v>
      </c>
      <c r="M3" s="10" t="n">
        <v>25</v>
      </c>
      <c r="N3" s="9" t="n">
        <v>890.1254</v>
      </c>
      <c r="O3" s="7" t="inlineStr">
        <is>
          <t>否</t>
        </is>
      </c>
      <c r="P3" s="11" t="inlineStr">
        <is>
          <t>合理</t>
        </is>
      </c>
      <c r="Q3" s="7" t="inlineStr">
        <is>
          <t>合理</t>
        </is>
      </c>
      <c r="R3" s="7" t="n">
        <v>8.5</v>
      </c>
      <c r="S3" s="7" t="inlineStr">
        <is>
          <t>★★★★☆</t>
        </is>
      </c>
      <c r="T3" s="7" t="n">
        <v>6.5</v>
      </c>
      <c r="U3" s="7" t="n">
        <v>7.5</v>
      </c>
      <c r="V3" s="7" t="n">
        <v>8</v>
      </c>
      <c r="W3" s="7" t="n">
        <v>81.5</v>
      </c>
      <c r="X3" s="8" t="inlineStr">
        <is>
          <t>毛利率90.42%，ROIC 42.62%，淨現金532.75億，營收十年CAGR 17.8%</t>
        </is>
      </c>
      <c r="Y3" s="10" t="n">
        <v>33.6</v>
      </c>
      <c r="Z3" s="10" t="n">
        <v>42.6</v>
      </c>
      <c r="AA3" s="10" t="n">
        <v>90.40000000000001</v>
      </c>
      <c r="AB3" s="10" t="n">
        <v>15.2</v>
      </c>
      <c r="AC3" s="7" t="inlineStr">
        <is>
          <t>2025</t>
        </is>
      </c>
      <c r="AD3" s="7" t="inlineStr">
        <is>
          <t>2026-06-30</t>
        </is>
      </c>
      <c r="AE3" s="7" t="inlineStr">
        <is>
          <t>2026-09-07</t>
        </is>
      </c>
      <c r="AF3" s="8" t="inlineStr"/>
    </row>
    <row r="4">
      <c r="A4" s="12" t="inlineStr">
        <is>
          <t>US</t>
        </is>
      </c>
      <c r="B4" s="12" t="inlineStr">
        <is>
          <t>GOOGL</t>
        </is>
      </c>
      <c r="C4" s="13" t="inlineStr">
        <is>
          <t>谷歌-A</t>
        </is>
      </c>
      <c r="D4" s="13" t="inlineStr"/>
      <c r="E4" s="12" t="inlineStr">
        <is>
          <t>mature</t>
        </is>
      </c>
      <c r="F4" s="12" t="inlineStr">
        <is>
          <t>USD</t>
        </is>
      </c>
      <c r="G4" s="13" t="inlineStr"/>
      <c r="H4" s="14" t="n">
        <v>338.46</v>
      </c>
      <c r="I4" s="14" t="n">
        <v>62.856</v>
      </c>
      <c r="J4" s="14" t="n">
        <v>2.0172</v>
      </c>
      <c r="K4" s="14" t="n">
        <v>15.3128</v>
      </c>
      <c r="L4" s="15" t="n">
        <v>438.5</v>
      </c>
      <c r="M4" s="15" t="n">
        <v>25</v>
      </c>
      <c r="N4" s="14" t="n">
        <v>47.142</v>
      </c>
      <c r="O4" s="12" t="inlineStr">
        <is>
          <t>否</t>
        </is>
      </c>
      <c r="P4" s="16" t="inlineStr">
        <is>
          <t>非常昂貴</t>
        </is>
      </c>
      <c r="Q4" s="12" t="inlineStr">
        <is>
          <t>非常昂貴</t>
        </is>
      </c>
      <c r="R4" s="12" t="n">
        <v>3.5</v>
      </c>
      <c r="S4" s="12" t="inlineStr">
        <is>
          <t>★★☆☆☆</t>
        </is>
      </c>
      <c r="T4" s="12" t="n">
        <v>2</v>
      </c>
      <c r="U4" s="12" t="n">
        <v>4</v>
      </c>
      <c r="V4" s="12" t="n">
        <v>4.5</v>
      </c>
      <c r="W4" s="12" t="n">
        <v>89.7</v>
      </c>
      <c r="X4" s="13" t="inlineStr">
        <is>
          <t>高淨利率但ROIC僅5%，淨負債且EPS五年複合成長率-33.87%，獲利品質存疑</t>
        </is>
      </c>
      <c r="Y4" s="15" t="n">
        <v>18.5</v>
      </c>
      <c r="Z4" s="15" t="n">
        <v>5</v>
      </c>
      <c r="AA4" s="15" t="n">
        <v>61.6</v>
      </c>
      <c r="AB4" s="15" t="n">
        <v>30.5</v>
      </c>
      <c r="AC4" s="12" t="inlineStr">
        <is>
          <t>2025</t>
        </is>
      </c>
      <c r="AD4" s="12" t="inlineStr">
        <is>
          <t>2026-06-30</t>
        </is>
      </c>
      <c r="AE4" s="12" t="inlineStr">
        <is>
          <t>2026-09-07</t>
        </is>
      </c>
      <c r="AF4" s="13" t="inlineStr">
        <is>
          <t>行情總股本(12,230,000,000)與財報EPS反推(145,707,017,544)差異&gt;25%，已改用反推值 / 缺關鍵科目：cfo,capex,d_and_a</t>
        </is>
      </c>
    </row>
  </sheetData>
  <autoFilter ref="A1:AF4"/>
  <conditionalFormatting sqref="R2:R4">
    <cfRule type="dataBar" priority="1">
      <dataBar>
        <cfvo type="num" val="0"/>
        <cfvo type="num" val="10"/>
        <color rgb="00FF9500"/>
      </dataBar>
    </cfRule>
  </conditionalFormatting>
  <conditionalFormatting sqref="L2:L4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17" t="inlineStr">
        <is>
          <t>00700</t>
        </is>
      </c>
      <c r="B2" s="18" t="inlineStr">
        <is>
          <t>腾讯控股</t>
        </is>
      </c>
      <c r="C2" s="19" t="n">
        <v>442.8</v>
      </c>
      <c r="D2" s="19" t="n">
        <v>659.7439000000001</v>
      </c>
      <c r="E2" s="19" t="n">
        <v>282.2421</v>
      </c>
      <c r="F2" s="19" t="n">
        <v>469.194</v>
      </c>
      <c r="G2" s="19" t="inlineStr"/>
      <c r="H2" s="19" t="n">
        <v>684.9804</v>
      </c>
      <c r="I2" s="19" t="n">
        <v>368.7076</v>
      </c>
      <c r="J2" s="19" t="n">
        <v>459.2987</v>
      </c>
      <c r="K2" s="19" t="n">
        <v>3850.9893</v>
      </c>
      <c r="L2" s="19" t="n">
        <v>609.7476</v>
      </c>
      <c r="M2" s="19" t="n">
        <v>9.17</v>
      </c>
      <c r="N2" s="19" t="n">
        <v>9.949999999999999</v>
      </c>
      <c r="O2" s="17" t="n">
        <v>1</v>
      </c>
      <c r="P2" s="18" t="inlineStr">
        <is>
          <t>{"graham_number": 0.102, "graham_formula": 0.102, "buffett_oe": 0.245, "epv": 0.204, "damodaran_fcff": 0.245, "ri_pb": 0.051, "ddm": 0.051}</t>
        </is>
      </c>
      <c r="Q2" s="18" t="inlineStr">
        <is>
          <t>{"graham_number": {"EPS(3年均)": 20.938, "BVPS": 124.7758},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0.0917, "淨現金": -12924000000.0}, "damodaran_fcff": {"銷售/資本": 0.8, "g1": 0.1076, "永續g": 0.03, "目標營業利益率": 0.3189, "WACC": 0.0917, "終值WACC": 0.0995, "有效稅率": 0.1678, "終值佔比": 0.565}, "ri_pb": {"常態ROE": 0.2271, "股權成本r": 0.0995, "留存成長g": 0.0945, "合理PB": 26.512}, "ddm": {"DPS": 4.8076, "g": 0.0895, "r": 0.0995}}</t>
        </is>
      </c>
    </row>
    <row r="3">
      <c r="A3" s="17" t="inlineStr">
        <is>
          <t>600519</t>
        </is>
      </c>
      <c r="B3" s="18" t="inlineStr">
        <is>
          <t>贵州茅台</t>
        </is>
      </c>
      <c r="C3" s="19" t="n">
        <v>1316.81</v>
      </c>
      <c r="D3" s="19" t="n">
        <v>1186.8339</v>
      </c>
      <c r="E3" s="19" t="n">
        <v>544.9149</v>
      </c>
      <c r="F3" s="19" t="n">
        <v>2058.441</v>
      </c>
      <c r="G3" s="19" t="n">
        <v>171.005</v>
      </c>
      <c r="H3" s="19" t="n">
        <v>869.8927</v>
      </c>
      <c r="I3" s="19" t="n">
        <v>838.7816</v>
      </c>
      <c r="J3" s="19" t="n">
        <v>1283.6279</v>
      </c>
      <c r="K3" s="19" t="n">
        <v>2189.9672</v>
      </c>
      <c r="L3" s="19" t="n">
        <v>2579.5722</v>
      </c>
      <c r="M3" s="19" t="n">
        <v>8.9</v>
      </c>
      <c r="N3" s="19" t="n">
        <v>8.9</v>
      </c>
      <c r="O3" s="17" t="n">
        <v>1</v>
      </c>
      <c r="P3" s="18" t="inlineStr">
        <is>
          <t>{"graham_number": 0.1, "graham_formula": 0.1, "ncav": 0.02, "buffett_oe": 0.24, "epv": 0.2, "damodaran_fcff": 0.24, "ri_pb": 0.05, "ddm": 0.05}</t>
        </is>
      </c>
      <c r="Q3" s="18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">
      <c r="A4" s="17" t="inlineStr">
        <is>
          <t>GOOGL</t>
        </is>
      </c>
      <c r="B4" s="18" t="inlineStr">
        <is>
          <t>谷歌-A</t>
        </is>
      </c>
      <c r="C4" s="19" t="n">
        <v>338.46</v>
      </c>
      <c r="D4" s="19" t="n">
        <v>62.856</v>
      </c>
      <c r="E4" s="19" t="n">
        <v>14.6499</v>
      </c>
      <c r="F4" s="19" t="n">
        <v>15.3128</v>
      </c>
      <c r="G4" s="19" t="n">
        <v>0.4257</v>
      </c>
      <c r="H4" s="19" t="inlineStr"/>
      <c r="I4" s="19" t="n">
        <v>2.0172</v>
      </c>
      <c r="J4" s="19" t="n">
        <v>3.797</v>
      </c>
      <c r="K4" s="19" t="n">
        <v>806.1659</v>
      </c>
      <c r="L4" s="19" t="inlineStr"/>
      <c r="M4" s="19" t="n">
        <v>8.789999999999999</v>
      </c>
      <c r="N4" s="19" t="n">
        <v>8.800000000000001</v>
      </c>
      <c r="O4" s="17" t="n">
        <v>1</v>
      </c>
      <c r="P4" s="18" t="inlineStr">
        <is>
          <t>{"graham_number": 0.141, "graham_formula": 0.141, "ncav": 0.028, "epv": 0.282, "damodaran_fcff": 0.338, "ri_pb": 0.07}</t>
        </is>
      </c>
      <c r="Q4" s="18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</sheetData>
  <autoFilter ref="A1:Q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" t="inlineStr">
        <is>
          <t>00700</t>
        </is>
      </c>
      <c r="B2" s="3" t="inlineStr">
        <is>
          <t>腾讯控股</t>
        </is>
      </c>
      <c r="C2" s="2" t="inlineStr">
        <is>
          <t>HKD</t>
        </is>
      </c>
      <c r="D2" s="4" t="n">
        <v>442.8</v>
      </c>
      <c r="E2" s="4" t="n">
        <v>329.8719</v>
      </c>
      <c r="F2" s="4" t="n">
        <v>494.8079</v>
      </c>
      <c r="G2" s="4" t="n">
        <v>758.7054000000001</v>
      </c>
      <c r="H2" s="4" t="n">
        <v>989.6158</v>
      </c>
      <c r="I2" s="4" t="n">
        <v>989.6158</v>
      </c>
      <c r="J2" s="6" t="inlineStr">
        <is>
          <t>便宜</t>
        </is>
      </c>
      <c r="K2" s="4" t="n">
        <v>0.6712</v>
      </c>
      <c r="L2" s="4" t="n">
        <v>494.8079</v>
      </c>
    </row>
    <row r="3">
      <c r="A3" s="7" t="inlineStr">
        <is>
          <t>600519</t>
        </is>
      </c>
      <c r="B3" s="8" t="inlineStr">
        <is>
          <t>贵州茅台</t>
        </is>
      </c>
      <c r="C3" s="7" t="inlineStr">
        <is>
          <t>CNY</t>
        </is>
      </c>
      <c r="D3" s="9" t="n">
        <v>1316.81</v>
      </c>
      <c r="E3" s="9" t="n">
        <v>593.417</v>
      </c>
      <c r="F3" s="9" t="n">
        <v>890.1254</v>
      </c>
      <c r="G3" s="9" t="n">
        <v>1364.859</v>
      </c>
      <c r="H3" s="9" t="n">
        <v>1780.2509</v>
      </c>
      <c r="I3" s="9" t="n">
        <v>1780.2509</v>
      </c>
      <c r="J3" s="11" t="inlineStr">
        <is>
          <t>合理</t>
        </is>
      </c>
      <c r="K3" s="9" t="n">
        <v>1.1095</v>
      </c>
      <c r="L3" s="9" t="n">
        <v>890.1254</v>
      </c>
    </row>
    <row r="4">
      <c r="A4" s="12" t="inlineStr">
        <is>
          <t>GOOGL</t>
        </is>
      </c>
      <c r="B4" s="13" t="inlineStr">
        <is>
          <t>谷歌-A</t>
        </is>
      </c>
      <c r="C4" s="12" t="inlineStr">
        <is>
          <t>USD</t>
        </is>
      </c>
      <c r="D4" s="14" t="n">
        <v>338.46</v>
      </c>
      <c r="E4" s="14" t="n">
        <v>31.428</v>
      </c>
      <c r="F4" s="14" t="n">
        <v>47.142</v>
      </c>
      <c r="G4" s="14" t="n">
        <v>72.28449999999999</v>
      </c>
      <c r="H4" s="14" t="n">
        <v>94.2841</v>
      </c>
      <c r="I4" s="14" t="n">
        <v>94.2841</v>
      </c>
      <c r="J4" s="16" t="inlineStr">
        <is>
          <t>非常昂貴</t>
        </is>
      </c>
      <c r="K4" s="14" t="n">
        <v>5.3847</v>
      </c>
      <c r="L4" s="14" t="n">
        <v>47.142</v>
      </c>
    </row>
  </sheetData>
  <autoFilter ref="A1:L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17" t="inlineStr">
        <is>
          <t>00700</t>
        </is>
      </c>
      <c r="B2" s="18" t="inlineStr">
        <is>
          <t>腾讯控股</t>
        </is>
      </c>
      <c r="C2" s="17" t="n">
        <v>778561000000</v>
      </c>
      <c r="D2" s="17" t="n">
        <v>235508000000</v>
      </c>
      <c r="E2" s="17" t="n">
        <v>305848000000</v>
      </c>
      <c r="F2" s="17" t="n">
        <v>193325000000</v>
      </c>
      <c r="G2" s="17" t="n">
        <v>202308000000</v>
      </c>
      <c r="H2" s="17" t="n">
        <v>57.39</v>
      </c>
      <c r="I2" s="17" t="n">
        <v>33.21</v>
      </c>
      <c r="J2" s="17" t="n">
        <v>30.25</v>
      </c>
      <c r="K2" s="17" t="n">
        <v>24.83</v>
      </c>
      <c r="L2" s="17" t="n">
        <v>20.73</v>
      </c>
      <c r="M2" s="17" t="n">
        <v>22.71</v>
      </c>
      <c r="N2" s="17" t="n">
        <v>0.814677</v>
      </c>
      <c r="O2" s="17" t="n">
        <v>18.73</v>
      </c>
      <c r="P2" s="17" t="n">
        <v>43.39</v>
      </c>
      <c r="Q2" s="17" t="n">
        <v>0.415395</v>
      </c>
      <c r="R2" s="17" t="n">
        <v>1.287</v>
      </c>
      <c r="S2" s="17" t="n">
        <v>19.213957</v>
      </c>
      <c r="T2" s="17" t="n">
        <v>-12924000000</v>
      </c>
      <c r="U2" s="17" t="n">
        <v>918093000000</v>
      </c>
      <c r="V2" s="17" t="n">
        <v>10.76</v>
      </c>
      <c r="W2" s="17" t="n">
        <v>9.4</v>
      </c>
      <c r="X2" s="17" t="n">
        <v>22.45</v>
      </c>
      <c r="Y2" s="17" t="n">
        <v>8</v>
      </c>
      <c r="Z2" s="17" t="n">
        <v>18.58</v>
      </c>
      <c r="AA2" s="17" t="n">
        <v>9</v>
      </c>
      <c r="AB2" s="17" t="n">
        <v>10</v>
      </c>
      <c r="AC2" s="17" t="inlineStr">
        <is>
          <t>4/7</t>
        </is>
      </c>
    </row>
    <row r="3">
      <c r="A3" s="17" t="inlineStr">
        <is>
          <t>600519</t>
        </is>
      </c>
      <c r="B3" s="18" t="inlineStr">
        <is>
          <t>贵州茅台</t>
        </is>
      </c>
      <c r="C3" s="17" t="n">
        <v>173238481420.15</v>
      </c>
      <c r="D3" s="17" t="n">
        <v>84356973951.20999</v>
      </c>
      <c r="E3" s="17" t="n">
        <v>119093894077.08</v>
      </c>
      <c r="F3" s="17" t="n">
        <v>116730152217.62</v>
      </c>
      <c r="G3" s="17" t="n">
        <v>64728275253.3</v>
      </c>
      <c r="H3" s="17" t="n">
        <v>90.42</v>
      </c>
      <c r="I3" s="17" t="n">
        <v>65.48999999999999</v>
      </c>
      <c r="J3" s="17" t="n">
        <v>48.69</v>
      </c>
      <c r="K3" s="17" t="n">
        <v>67.38</v>
      </c>
      <c r="L3" s="17" t="n">
        <v>33.57</v>
      </c>
      <c r="M3" s="17" t="n">
        <v>32.72</v>
      </c>
      <c r="N3" s="17" t="n">
        <v>0.889428</v>
      </c>
      <c r="O3" s="17" t="n">
        <v>42.62</v>
      </c>
      <c r="P3" s="17" t="n">
        <v>15.19</v>
      </c>
      <c r="Q3" s="17" t="n">
        <v>0.0009700000000000001</v>
      </c>
      <c r="R3" s="17" t="n">
        <v>5.589543</v>
      </c>
      <c r="S3" s="17" t="n">
        <v>2498.931082</v>
      </c>
      <c r="T3" s="17" t="n">
        <v>53275114111.02</v>
      </c>
      <c r="U3" s="17" t="n">
        <v>147198786.54</v>
      </c>
      <c r="V3" s="17" t="n">
        <v>10.49</v>
      </c>
      <c r="W3" s="17" t="n">
        <v>11.92</v>
      </c>
      <c r="X3" s="17" t="n">
        <v>17.8</v>
      </c>
      <c r="Y3" s="17" t="n">
        <v>12.05</v>
      </c>
      <c r="Z3" s="17" t="n">
        <v>80.15000000000001</v>
      </c>
      <c r="AA3" s="17" t="n">
        <v>10</v>
      </c>
      <c r="AB3" s="17" t="n">
        <v>10</v>
      </c>
      <c r="AC3" s="17" t="inlineStr">
        <is>
          <t>5/7</t>
        </is>
      </c>
    </row>
    <row r="4">
      <c r="A4" s="17" t="inlineStr">
        <is>
          <t>GOOGL</t>
        </is>
      </c>
      <c r="B4" s="18" t="inlineStr">
        <is>
          <t>谷歌-A</t>
        </is>
      </c>
      <c r="C4" s="17" t="n">
        <v>137196000000</v>
      </c>
      <c r="D4" s="17" t="n">
        <v>118452000000</v>
      </c>
      <c r="E4" s="17" t="inlineStr"/>
      <c r="F4" s="17" t="inlineStr"/>
      <c r="G4" s="17" t="inlineStr"/>
      <c r="H4" s="17" t="n">
        <v>61.61</v>
      </c>
      <c r="I4" s="17" t="n">
        <v>33.12</v>
      </c>
      <c r="J4" s="17" t="n">
        <v>86.34</v>
      </c>
      <c r="K4" s="17" t="inlineStr"/>
      <c r="L4" s="17" t="n">
        <v>18.49</v>
      </c>
      <c r="M4" s="17" t="n">
        <v>100</v>
      </c>
      <c r="N4" s="17" t="n">
        <v>1</v>
      </c>
      <c r="O4" s="17" t="n">
        <v>5</v>
      </c>
      <c r="P4" s="17" t="n">
        <v>30.53</v>
      </c>
      <c r="Q4" s="17" t="n">
        <v>0.166556</v>
      </c>
      <c r="R4" s="17" t="n">
        <v>2.723981</v>
      </c>
      <c r="S4" s="17" t="n">
        <v>99</v>
      </c>
      <c r="T4" s="17" t="n">
        <v>-50765000000</v>
      </c>
      <c r="U4" s="17" t="n">
        <v>0</v>
      </c>
      <c r="V4" s="17" t="n">
        <v>14.39</v>
      </c>
      <c r="W4" s="17" t="n">
        <v>14.88</v>
      </c>
      <c r="X4" s="17" t="n">
        <v>18.23</v>
      </c>
      <c r="Y4" s="17" t="n">
        <v>-33.87</v>
      </c>
      <c r="Z4" s="17" t="inlineStr"/>
      <c r="AA4" s="17" t="n">
        <v>10</v>
      </c>
      <c r="AB4" s="17" t="n">
        <v>0</v>
      </c>
      <c r="AC4" s="17" t="inlineStr">
        <is>
          <t>3/7</t>
        </is>
      </c>
    </row>
  </sheetData>
  <autoFilter ref="A1:AC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3.8" customWidth="1" min="12" max="12"/>
    <col width="26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一句話重點(不考慮價格)</t>
        </is>
      </c>
      <c r="I1" s="1" t="inlineStr">
        <is>
          <t>200字投資建議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AI日期</t>
        </is>
      </c>
      <c r="M1" s="1" t="inlineStr">
        <is>
          <t>品質旗標</t>
        </is>
      </c>
    </row>
    <row r="2" ht="118" customHeight="1">
      <c r="A2" s="2" t="inlineStr">
        <is>
          <t>00700</t>
        </is>
      </c>
      <c r="B2" s="3" t="inlineStr">
        <is>
          <t>腾讯控股</t>
        </is>
      </c>
      <c r="C2" s="2" t="n">
        <v>8.5</v>
      </c>
      <c r="D2" s="2" t="inlineStr">
        <is>
          <t>★★★★☆</t>
        </is>
      </c>
      <c r="E2" s="6" t="inlineStr">
        <is>
          <t>便宜</t>
        </is>
      </c>
      <c r="F2" s="2" t="inlineStr">
        <is>
          <t>便宜</t>
        </is>
      </c>
      <c r="G2" s="2" t="n">
        <v>95.90000000000001</v>
      </c>
      <c r="H2" s="3" t="inlineStr">
        <is>
          <t>高毛利57.39%支撐強勁現金流，ROE十年中位22.71%穩定成長</t>
        </is>
      </c>
      <c r="I2" s="3" t="inlineStr">
        <is>
          <t>獲利品質卓越，TTM毛利率57.39%與自由現金流率24.83%彰顯強勁現金生成能力。資產負債結構穩健，負債權益比0.415、利息保障倍數19.21，但流動比率1.287低於格雷厄姆標準。成長動能強勁，營收CAGR_10年22.45%，ROIC 18.73%佐證高效資本配置。估值模型加權內在價值659.74 HKD，現價442.8僅為其67.1%，安全邊際25%且信心分數95.9。明確結論：價格顯著低估，建議買入並追蹤營收CAGR_3年與ROE穩定度指標。</t>
        </is>
      </c>
      <c r="J2" s="3" t="inlineStr">
        <is>
          <t>負債權益比0.415偏高 / 流動比率1.287低於安全標準 / 報表與交易幣別匯率波動風險</t>
        </is>
      </c>
      <c r="K2" s="2" t="inlineStr">
        <is>
          <t>qwen-plus</t>
        </is>
      </c>
      <c r="L2" s="2" t="inlineStr">
        <is>
          <t>2026-09-04</t>
        </is>
      </c>
      <c r="M2" s="3" t="inlineStr"/>
    </row>
    <row r="3" ht="118" customHeight="1">
      <c r="A3" s="7" t="inlineStr">
        <is>
          <t>600519</t>
        </is>
      </c>
      <c r="B3" s="8" t="inlineStr">
        <is>
          <t>贵州茅台</t>
        </is>
      </c>
      <c r="C3" s="7" t="n">
        <v>8.5</v>
      </c>
      <c r="D3" s="7" t="inlineStr">
        <is>
          <t>★★★★☆</t>
        </is>
      </c>
      <c r="E3" s="11" t="inlineStr">
        <is>
          <t>合理</t>
        </is>
      </c>
      <c r="F3" s="7" t="inlineStr">
        <is>
          <t>合理</t>
        </is>
      </c>
      <c r="G3" s="7" t="n">
        <v>81.5</v>
      </c>
      <c r="H3" s="8" t="inlineStr">
        <is>
          <t>毛利率90.42%，ROIC 42.62%，淨現金532.75億，營收十年CAGR 17.8%</t>
        </is>
      </c>
      <c r="I3" s="8" t="inlineStr">
        <is>
          <t>獲利品質卓越：TTM淨利率48.69%、自由現金流率67.38%，經營現金流119093.9百萬遠超淨利。資產負債極穩健：負債佔資產僅15.19%，流動比率5.59，利息保障倍數2498.93，淨現金53275.1百萬。成長與再投資報酬強勁：營收十年CAGR 17.8%，ROIC 42.62%且ROE穩定度0.889，資本支出僅2363.7百萬。估值模型顯示加權內在價值1186.83，現價1316.81略高於合理區間上限1364.86，安全邊際未達（安全買點890.13）。結論：財務體質頂尖但估值合理偏高，建議密切觀察營收CAGR_3年、ROIC、自由現金流率及價格/內在價值比動向。</t>
        </is>
      </c>
      <c r="J3" s="8" t="inlineStr">
        <is>
          <t>營收增速放緩風險 / 政策監管不確定性 / 高估值波動風險</t>
        </is>
      </c>
      <c r="K3" s="7" t="inlineStr">
        <is>
          <t>qwen-plus</t>
        </is>
      </c>
      <c r="L3" s="7" t="inlineStr">
        <is>
          <t>2026-09-07</t>
        </is>
      </c>
      <c r="M3" s="8" t="inlineStr"/>
    </row>
    <row r="4" ht="118" customHeight="1">
      <c r="A4" s="12" t="inlineStr">
        <is>
          <t>GOOGL</t>
        </is>
      </c>
      <c r="B4" s="13" t="inlineStr">
        <is>
          <t>谷歌-A</t>
        </is>
      </c>
      <c r="C4" s="12" t="n">
        <v>3.5</v>
      </c>
      <c r="D4" s="12" t="inlineStr">
        <is>
          <t>★★☆☆☆</t>
        </is>
      </c>
      <c r="E4" s="16" t="inlineStr">
        <is>
          <t>非常昂貴</t>
        </is>
      </c>
      <c r="F4" s="12" t="inlineStr">
        <is>
          <t>非常昂貴</t>
        </is>
      </c>
      <c r="G4" s="12" t="n">
        <v>89.7</v>
      </c>
      <c r="H4" s="13" t="inlineStr">
        <is>
          <t>高淨利率但ROIC僅5%，淨負債且EPS五年複合成長率-33.87%，獲利品質存疑</t>
        </is>
      </c>
      <c r="I4" s="13" t="inlineStr">
        <is>
          <t>獲利品質：淨利率86.34%異常高，但EPS_CAGR_5年-33.87%且ROIC僅5.0%，成長不可持續；關鍵現金流數據缺失（cfo/capex/d_and_a），無法驗證業主盈餘。資產負債穩健（負債權益比0.166556，利息保障倍數99.0），但淨現金-50765百萬表淨負債風險。成長依賴營收CAGR_10年18.23%，然ROIC遠低於ROE(10年中位)100.0%，資本配置效率低。估值：加權內在價值62.856，現價338.46，價格/內在價值5.3847，安全邊際MOS 0.25未達標。結論：財務體質矛盾，價格嚴重高估，建議觀察ROIC改善及現金流補齊。</t>
        </is>
      </c>
      <c r="J4" s="13" t="inlineStr">
        <is>
          <t>淨利率86.34%不可持續 / EPS五年複合成長率-33.87% / ROIC與ROE嚴重背離</t>
        </is>
      </c>
      <c r="K4" s="12" t="inlineStr">
        <is>
          <t>qwen-plus</t>
        </is>
      </c>
      <c r="L4" s="12" t="inlineStr">
        <is>
          <t>2026-09-07</t>
        </is>
      </c>
      <c r="M4" s="13" t="inlineStr"/>
    </row>
  </sheetData>
  <autoFilter ref="A1:M4"/>
  <conditionalFormatting sqref="C2:C4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20" t="inlineStr">
        <is>
          <t>章節</t>
        </is>
      </c>
      <c r="B1" s="21" t="inlineStr">
        <is>
          <t>內容</t>
        </is>
      </c>
    </row>
    <row r="2" ht="78" customHeight="1">
      <c r="A2" t="inlineStr">
        <is>
          <t>① 資料來源</t>
        </is>
      </c>
      <c r="B2" s="22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22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22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22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22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22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22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22" t="inlineStr">
        <is>
          <t>AI 僅獲得本檔內數字與精簡 Excel 附件，Prompt 禁止外部事實；輸出經 JSON Schema 驗證與可疑敘述掃描，結果記於「品質旗標」欄。旗標非空者請人工複核。</t>
        </is>
      </c>
    </row>
    <row r="10" ht="78" customHeight="1">
      <c r="A10" t="inlineStr">
        <is>
          <t>⑨ 已知限制</t>
        </is>
      </c>
      <c r="B10" s="22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22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2026-09-07T05:20:37Z</dcterms:created>
  <dcterms:modified xmlns:dcterms="http://purl.org/dc/terms/" xmlns:xsi="http://www.w3.org/2001/XMLSchema-instance" xsi:type="dcterms:W3CDTF">2026-09-07T05:20:38Z</dcterms:modified>
</cp:coreProperties>
</file>