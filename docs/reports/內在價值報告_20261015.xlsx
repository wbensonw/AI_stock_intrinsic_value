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3.315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13.3262</v>
      </c>
      <c r="J2" s="4" t="n">
        <v>6.9041</v>
      </c>
      <c r="K2" s="4" t="n">
        <v>11.3025</v>
      </c>
      <c r="L2" s="5" t="n">
        <v>-75.09999999999999</v>
      </c>
      <c r="M2" s="5" t="n">
        <v>25</v>
      </c>
      <c r="N2" s="4" t="n">
        <v>9.9946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2026-10-15</t>
        </is>
      </c>
      <c r="AF2" s="3" t="inlineStr">
        <is>
          <t>報表幣別 CNY → 交易幣別 HKD，匯率 1.1714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24.2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72.1931</v>
      </c>
      <c r="J3" s="4" t="n">
        <v>41.599</v>
      </c>
      <c r="K3" s="4" t="n">
        <v>68.20310000000001</v>
      </c>
      <c r="L3" s="5" t="n">
        <v>-66.5</v>
      </c>
      <c r="M3" s="5" t="n">
        <v>25</v>
      </c>
      <c r="N3" s="4" t="n">
        <v>54.1448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2026-10-15</t>
        </is>
      </c>
      <c r="AF3" s="3" t="inlineStr">
        <is>
          <t>缺關鍵科目：capex / 報表幣別 CNY → 交易幣別 HKD，匯率 1.1714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39.53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142.4738</v>
      </c>
      <c r="J4" s="4" t="n">
        <v>55.8024</v>
      </c>
      <c r="K4" s="4" t="n">
        <v>151.0522</v>
      </c>
      <c r="L4" s="5" t="n">
        <v>-72.3</v>
      </c>
      <c r="M4" s="5" t="n">
        <v>25</v>
      </c>
      <c r="N4" s="4" t="n">
        <v>106.8554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2026-10-15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10.3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22.665</v>
      </c>
      <c r="J5" s="4" t="n">
        <v>12.7141</v>
      </c>
      <c r="K5" s="4" t="n">
        <v>15.594</v>
      </c>
      <c r="L5" s="5" t="n">
        <v>-54.6</v>
      </c>
      <c r="M5" s="5" t="n">
        <v>25</v>
      </c>
      <c r="N5" s="4" t="n">
        <v>16.9988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97.7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2026-10-14</t>
        </is>
      </c>
      <c r="AF5" s="3" t="inlineStr">
        <is>
          <t>報表幣別 CNY → 交易幣別 HKD，匯率 1.1714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5.635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11.5233</v>
      </c>
      <c r="J6" s="4" t="n">
        <v>8.4323</v>
      </c>
      <c r="K6" s="4" t="n">
        <v>12.4629</v>
      </c>
      <c r="L6" s="5" t="n">
        <v>-51.1</v>
      </c>
      <c r="M6" s="5" t="n">
        <v>25</v>
      </c>
      <c r="N6" s="4" t="n">
        <v>8.6424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2026-10-15</t>
        </is>
      </c>
      <c r="AF6" s="3" t="inlineStr">
        <is>
          <t>報表幣別 CNY → 交易幣別 HKD，匯率 1.1714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441.82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6308.2253</v>
      </c>
      <c r="J7" s="4" t="n">
        <v>564.4848</v>
      </c>
      <c r="K7" s="4" t="n">
        <v>5285.4917</v>
      </c>
      <c r="L7" s="5" t="n">
        <v>-93</v>
      </c>
      <c r="M7" s="5" t="n">
        <v>25</v>
      </c>
      <c r="N7" s="4" t="n">
        <v>4731.169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80.09999999999999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2026-10-13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1.225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3.8283</v>
      </c>
      <c r="J8" s="4" t="n">
        <v>2.2222</v>
      </c>
      <c r="K8" s="4" t="n">
        <v>2.919</v>
      </c>
      <c r="L8" s="5" t="n">
        <v>-68</v>
      </c>
      <c r="M8" s="5" t="n">
        <v>25</v>
      </c>
      <c r="N8" s="4" t="n">
        <v>2.8712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2026-10-15</t>
        </is>
      </c>
      <c r="AF8" s="3" t="inlineStr">
        <is>
          <t>報表幣別 CNY → 交易幣別 HKD，匯率 1.1714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19.85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-62.8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2026-10-15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4.51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9.2242</v>
      </c>
      <c r="J10" s="4" t="n">
        <v>3.1978</v>
      </c>
      <c r="K10" s="4" t="n">
        <v>5.768</v>
      </c>
      <c r="L10" s="5" t="n">
        <v>-51.1</v>
      </c>
      <c r="M10" s="5" t="n">
        <v>25</v>
      </c>
      <c r="N10" s="4" t="n">
        <v>6.9182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92.8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2026-10-15</t>
        </is>
      </c>
      <c r="AF10" s="3" t="inlineStr">
        <is>
          <t>缺關鍵科目：capex / 報表幣別 CNY → 交易幣別 HKD，匯率 1.1714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53.5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592.2408</v>
      </c>
      <c r="J11" s="4" t="n">
        <v>32.4438</v>
      </c>
      <c r="K11" s="4" t="n">
        <v>132.8895</v>
      </c>
      <c r="L11" s="5" t="n">
        <v>-91</v>
      </c>
      <c r="M11" s="5" t="n">
        <v>25</v>
      </c>
      <c r="N11" s="4" t="n">
        <v>444.1806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2026-10-15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7.535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99.1069</v>
      </c>
      <c r="J12" s="4" t="n">
        <v>5.5542</v>
      </c>
      <c r="K12" s="4" t="n">
        <v>13.1918</v>
      </c>
      <c r="L12" s="5" t="n">
        <v>-92.40000000000001</v>
      </c>
      <c r="M12" s="5" t="n">
        <v>25</v>
      </c>
      <c r="N12" s="4" t="n">
        <v>74.3302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2026-10-15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50.25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704.0964</v>
      </c>
      <c r="J13" s="4" t="n">
        <v>45.1717</v>
      </c>
      <c r="K13" s="4" t="n">
        <v>137.4215</v>
      </c>
      <c r="L13" s="5" t="n">
        <v>-92.90000000000001</v>
      </c>
      <c r="M13" s="5" t="n">
        <v>25</v>
      </c>
      <c r="N13" s="4" t="n">
        <v>528.0723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2026-10-15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521.963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2026-10-13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9.835000000000001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131.6083</v>
      </c>
      <c r="J15" s="4" t="n">
        <v>7.1527</v>
      </c>
      <c r="K15" s="4" t="n">
        <v>20.2961</v>
      </c>
      <c r="L15" s="5" t="n">
        <v>-92.5</v>
      </c>
      <c r="M15" s="5" t="n">
        <v>25</v>
      </c>
      <c r="N15" s="4" t="n">
        <v>98.7062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2026-10-15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4.41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8.3545</v>
      </c>
      <c r="J16" s="9" t="n">
        <v>3.8974</v>
      </c>
      <c r="K16" s="9" t="n">
        <v>7.1075</v>
      </c>
      <c r="L16" s="10" t="n">
        <v>-47.2</v>
      </c>
      <c r="M16" s="10" t="n">
        <v>25</v>
      </c>
      <c r="N16" s="9" t="n">
        <v>6.2659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2026-10-15</t>
        </is>
      </c>
      <c r="AF16" s="8" t="inlineStr">
        <is>
          <t>報表幣別 CNY → 交易幣別 HKD，匯率 1.1714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56.65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100.9418</v>
      </c>
      <c r="J17" s="9" t="n">
        <v>56.4561</v>
      </c>
      <c r="K17" s="9" t="n">
        <v>94.1225</v>
      </c>
      <c r="L17" s="10" t="n">
        <v>-43.9</v>
      </c>
      <c r="M17" s="10" t="n">
        <v>25</v>
      </c>
      <c r="N17" s="9" t="n">
        <v>75.7064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2026-10-15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417.8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664.9216</v>
      </c>
      <c r="J18" s="9" t="n">
        <v>462.8557</v>
      </c>
      <c r="K18" s="9" t="n">
        <v>614.293</v>
      </c>
      <c r="L18" s="10" t="n">
        <v>-37.2</v>
      </c>
      <c r="M18" s="10" t="n">
        <v>25</v>
      </c>
      <c r="N18" s="9" t="n">
        <v>498.6912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2026-10-15</t>
        </is>
      </c>
      <c r="AF18" s="8" t="inlineStr">
        <is>
          <t>報表幣別 CNY → 交易幣別 HKD，匯率 1.1714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75.77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126.4107</v>
      </c>
      <c r="J19" s="9" t="n">
        <v>67.73990000000001</v>
      </c>
      <c r="K19" s="9" t="n">
        <v>166.782</v>
      </c>
      <c r="L19" s="10" t="n">
        <v>-40.1</v>
      </c>
      <c r="M19" s="10" t="n">
        <v>25</v>
      </c>
      <c r="N19" s="9" t="n">
        <v>94.80800000000001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2026-10-15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196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302.6135</v>
      </c>
      <c r="J20" s="9" t="n">
        <v>154.6148</v>
      </c>
      <c r="K20" s="9" t="n">
        <v>381.9285</v>
      </c>
      <c r="L20" s="10" t="n">
        <v>-35.2</v>
      </c>
      <c r="M20" s="10" t="n">
        <v>25</v>
      </c>
      <c r="N20" s="9" t="n">
        <v>226.9601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2026-10-15</t>
        </is>
      </c>
      <c r="AF20" s="8" t="inlineStr">
        <is>
          <t>報表幣別 CNY → 交易幣別 HKD，匯率 1.1714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70.84999999999999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113.1702</v>
      </c>
      <c r="J21" s="9" t="n">
        <v>55.5052</v>
      </c>
      <c r="K21" s="9" t="n">
        <v>108.9596</v>
      </c>
      <c r="L21" s="10" t="n">
        <v>-37.4</v>
      </c>
      <c r="M21" s="10" t="n">
        <v>25</v>
      </c>
      <c r="N21" s="9" t="n">
        <v>84.8777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2026-10-15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49.78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84.29000000000001</v>
      </c>
      <c r="J22" s="9" t="n">
        <v>83.7831</v>
      </c>
      <c r="K22" s="9" t="n">
        <v>104.7714</v>
      </c>
      <c r="L22" s="10" t="n">
        <v>-40.9</v>
      </c>
      <c r="M22" s="10" t="n">
        <v>25</v>
      </c>
      <c r="N22" s="9" t="n">
        <v>63.2175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93.40000000000001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2026-10-15</t>
        </is>
      </c>
      <c r="AF22" s="8" t="inlineStr">
        <is>
          <t>缺關鍵科目：d_and_a / 報表幣別 CNY → 交易幣別 HKD，匯率 1.1714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308.6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428.8824</v>
      </c>
      <c r="J23" s="9" t="n">
        <v>253.6833</v>
      </c>
      <c r="K23" s="9" t="n">
        <v>423.3101</v>
      </c>
      <c r="L23" s="10" t="n">
        <v>-28</v>
      </c>
      <c r="M23" s="10" t="n">
        <v>25</v>
      </c>
      <c r="N23" s="9" t="n">
        <v>321.6618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89.5</v>
      </c>
      <c r="X23" s="8" t="inlineStr">
        <is>
          <t>高毛利平台、淨現金充裕，惟獲利波動大、派息紀錄薄弱</t>
        </is>
      </c>
      <c r="Y23" s="10" t="n">
        <v>15.2</v>
      </c>
      <c r="Z23" s="10" t="n">
        <v>8</v>
      </c>
      <c r="AA23" s="10" t="n">
        <v>89.8</v>
      </c>
      <c r="AB23" s="10" t="n">
        <v>37.9</v>
      </c>
      <c r="AC23" s="7" t="inlineStr">
        <is>
          <t>2025</t>
        </is>
      </c>
      <c r="AD23" s="7" t="inlineStr">
        <is>
          <t>2026-06-30</t>
        </is>
      </c>
      <c r="AE23" s="7" t="inlineStr">
        <is>
          <t>2026-10-15</t>
        </is>
      </c>
      <c r="AF23" s="8" t="inlineStr">
        <is>
          <t>報表幣別 CNY → 交易幣別 HKD，匯率 1.1714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249.5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480.8226</v>
      </c>
      <c r="J24" s="9" t="n">
        <v>9.3416</v>
      </c>
      <c r="K24" s="9" t="n">
        <v>17.7724</v>
      </c>
      <c r="L24" s="10" t="n">
        <v>-48.1</v>
      </c>
      <c r="M24" s="10" t="n">
        <v>25</v>
      </c>
      <c r="N24" s="9" t="n">
        <v>360.6169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高毛利但現金流全缺，格雷厄姆檢查僅過2/7，數據品質存疑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2026-10-13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000333</t>
        </is>
      </c>
      <c r="C25" s="13" t="inlineStr">
        <is>
          <t>美的集团</t>
        </is>
      </c>
      <c r="D25" s="14" t="n">
        <v>84.52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107.1941</v>
      </c>
      <c r="J25" s="14" t="n">
        <v>69.1802</v>
      </c>
      <c r="K25" s="14" t="n">
        <v>136.1513</v>
      </c>
      <c r="L25" s="15" t="n">
        <v>-21.2</v>
      </c>
      <c r="M25" s="15" t="n">
        <v>25</v>
      </c>
      <c r="N25" s="14" t="n">
        <v>80.3956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便宜</t>
        </is>
      </c>
      <c r="R25" s="12" t="n">
        <v>8</v>
      </c>
      <c r="S25" s="12" t="inlineStr">
        <is>
          <t>★★★★☆</t>
        </is>
      </c>
      <c r="T25" s="12" t="n">
        <v>7</v>
      </c>
      <c r="U25" s="12" t="n">
        <v>8.5</v>
      </c>
      <c r="V25" s="12" t="n">
        <v>7.5</v>
      </c>
      <c r="W25" s="12" t="n">
        <v>88.8</v>
      </c>
      <c r="X25" s="13" t="inlineStr">
        <is>
          <t>連續十年獲利、ROE逾20%、淨現金為正的穩健現金牛</t>
        </is>
      </c>
      <c r="Y25" s="15" t="n">
        <v>20.9</v>
      </c>
      <c r="Z25" s="15" t="n">
        <v>22.3</v>
      </c>
      <c r="AA25" s="15" t="n">
        <v>26.5</v>
      </c>
      <c r="AB25" s="15" t="n">
        <v>64.90000000000001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2026-10-15</t>
        </is>
      </c>
      <c r="AF25" s="13" t="inlineStr"/>
    </row>
    <row r="26">
      <c r="A26" s="12" t="inlineStr">
        <is>
          <t>HK</t>
        </is>
      </c>
      <c r="B26" s="12" t="inlineStr">
        <is>
          <t>00941</t>
        </is>
      </c>
      <c r="C26" s="13" t="inlineStr">
        <is>
          <t>中国移动</t>
        </is>
      </c>
      <c r="D26" s="14" t="n">
        <v>80.75</v>
      </c>
      <c r="E26" s="13" t="inlineStr"/>
      <c r="F26" s="12" t="inlineStr">
        <is>
          <t>mature</t>
        </is>
      </c>
      <c r="G26" s="12" t="inlineStr">
        <is>
          <t>HKD</t>
        </is>
      </c>
      <c r="H26" s="13" t="inlineStr"/>
      <c r="I26" s="14" t="n">
        <v>90.1469</v>
      </c>
      <c r="J26" s="14" t="n">
        <v>87.54349999999999</v>
      </c>
      <c r="K26" s="14" t="n">
        <v>93.0415</v>
      </c>
      <c r="L26" s="15" t="n">
        <v>-10.4</v>
      </c>
      <c r="M26" s="15" t="n">
        <v>25</v>
      </c>
      <c r="N26" s="14" t="n">
        <v>67.61020000000001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6.7</v>
      </c>
      <c r="S26" s="12" t="inlineStr">
        <is>
          <t>★★★☆☆</t>
        </is>
      </c>
      <c r="T26" s="12" t="n">
        <v>6.5</v>
      </c>
      <c r="U26" s="12" t="n">
        <v>7</v>
      </c>
      <c r="V26" s="12" t="n">
        <v>6.5</v>
      </c>
      <c r="W26" s="12" t="n">
        <v>98.90000000000001</v>
      </c>
      <c r="X26" s="13" t="inlineStr">
        <is>
          <t>十年連續獲利、極低負債，惟成長動能已明顯趨緩</t>
        </is>
      </c>
      <c r="Y26" s="15" t="n">
        <v>9</v>
      </c>
      <c r="Z26" s="15" t="n">
        <v>8.699999999999999</v>
      </c>
      <c r="AA26" s="15" t="n">
        <v>67.59999999999999</v>
      </c>
      <c r="AB26" s="15" t="n">
        <v>32.2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2026-10-15</t>
        </is>
      </c>
      <c r="AF26" s="13" t="inlineStr">
        <is>
          <t>報表幣別 CNY → 交易幣別 HKD，匯率 1.1714</t>
        </is>
      </c>
    </row>
    <row r="27">
      <c r="A27" s="12" t="inlineStr">
        <is>
          <t>CN</t>
        </is>
      </c>
      <c r="B27" s="12" t="inlineStr">
        <is>
          <t>300760</t>
        </is>
      </c>
      <c r="C27" s="13" t="inlineStr">
        <is>
          <t>迈瑞医疗</t>
        </is>
      </c>
      <c r="D27" s="14" t="n">
        <v>166.57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200.3004</v>
      </c>
      <c r="J27" s="14" t="n">
        <v>116.6257</v>
      </c>
      <c r="K27" s="14" t="n">
        <v>176.872</v>
      </c>
      <c r="L27" s="15" t="n">
        <v>-16.8</v>
      </c>
      <c r="M27" s="15" t="n">
        <v>25</v>
      </c>
      <c r="N27" s="14" t="n">
        <v>150.2253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6.5</v>
      </c>
      <c r="S27" s="12" t="inlineStr">
        <is>
          <t>★★★☆☆</t>
        </is>
      </c>
      <c r="T27" s="12" t="n">
        <v>5</v>
      </c>
      <c r="U27" s="12" t="n">
        <v>7.5</v>
      </c>
      <c r="V27" s="12" t="n">
        <v>6.5</v>
      </c>
      <c r="W27" s="12" t="n">
        <v>94.59999999999999</v>
      </c>
      <c r="X27" s="13" t="inlineStr">
        <is>
          <t>高毛利、低負債、現金充沛，但營收與淨利成長明顯減速</t>
        </is>
      </c>
      <c r="Y27" s="15" t="n">
        <v>20.4</v>
      </c>
      <c r="Z27" s="15" t="n">
        <v>37.8</v>
      </c>
      <c r="AA27" s="15" t="n">
        <v>59.9</v>
      </c>
      <c r="AB27" s="15" t="n">
        <v>25.5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2026-10-15</t>
        </is>
      </c>
      <c r="AF27" s="13" t="inlineStr"/>
    </row>
    <row r="28">
      <c r="A28" s="12" t="inlineStr">
        <is>
          <t>CN</t>
        </is>
      </c>
      <c r="B28" s="12" t="inlineStr">
        <is>
          <t>600519</t>
        </is>
      </c>
      <c r="C28" s="13" t="inlineStr">
        <is>
          <t>贵州茅台</t>
        </is>
      </c>
      <c r="D28" s="14" t="n">
        <v>1305.74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1186.8341</v>
      </c>
      <c r="J28" s="14" t="n">
        <v>838.7824000000001</v>
      </c>
      <c r="K28" s="14" t="n">
        <v>2058.441</v>
      </c>
      <c r="L28" s="15" t="n">
        <v>10</v>
      </c>
      <c r="M28" s="15" t="n">
        <v>25</v>
      </c>
      <c r="N28" s="14" t="n">
        <v>890.1256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81.5</v>
      </c>
      <c r="X28" s="13" t="inlineStr">
        <is>
          <t>毛利率90%、ROE穩定33%、近乎零負債，財務堡壘級體質</t>
        </is>
      </c>
      <c r="Y28" s="15" t="n">
        <v>33.6</v>
      </c>
      <c r="Z28" s="15" t="n">
        <v>42.6</v>
      </c>
      <c r="AA28" s="15" t="n">
        <v>90.40000000000001</v>
      </c>
      <c r="AB28" s="15" t="n">
        <v>15.2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2026-10-15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9.135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11.2345</v>
      </c>
      <c r="J29" s="14" t="n">
        <v>4.5368</v>
      </c>
      <c r="K29" s="14" t="n">
        <v>14.8828</v>
      </c>
      <c r="L29" s="15" t="n">
        <v>-18.7</v>
      </c>
      <c r="M29" s="15" t="n">
        <v>25</v>
      </c>
      <c r="N29" s="14" t="n">
        <v>8.4259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83.40000000000001</v>
      </c>
      <c r="X29" s="13" t="inlineStr">
        <is>
          <t>毛利率92%現金流充沛，惟ROIC未達資本成本，成長動能偏弱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2026-10-15</t>
        </is>
      </c>
      <c r="AF29" s="13" t="inlineStr">
        <is>
          <t>報表幣別 CNY → 交易幣別 HKD，匯率 1.1714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26.86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28.9076</v>
      </c>
      <c r="J30" s="14" t="n">
        <v>17.5124</v>
      </c>
      <c r="K30" s="14" t="n">
        <v>26.5801</v>
      </c>
      <c r="L30" s="15" t="n">
        <v>-7.1</v>
      </c>
      <c r="M30" s="15" t="n">
        <v>25</v>
      </c>
      <c r="N30" s="14" t="n">
        <v>21.6807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5.8</v>
      </c>
      <c r="S30" s="12" t="inlineStr">
        <is>
          <t>★★★☆☆</t>
        </is>
      </c>
      <c r="T30" s="12" t="n">
        <v>3</v>
      </c>
      <c r="U30" s="12" t="n">
        <v>6.5</v>
      </c>
      <c r="V30" s="12" t="n">
        <v>6</v>
      </c>
      <c r="W30" s="12" t="n">
        <v>94.40000000000001</v>
      </c>
      <c r="X30" s="13" t="inlineStr">
        <is>
          <t>營收高成長但自由現金流轉負，低負債下獲利波動仍大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2026-10-15</t>
        </is>
      </c>
      <c r="AF30" s="13" t="inlineStr">
        <is>
          <t>報表幣別 CNY → 交易幣別 HKD，匯率 1.1714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105.3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137.0236</v>
      </c>
      <c r="J31" s="14" t="n">
        <v>60.1633</v>
      </c>
      <c r="K31" s="14" t="n">
        <v>130.0369</v>
      </c>
      <c r="L31" s="15" t="n">
        <v>-23.2</v>
      </c>
      <c r="M31" s="15" t="n">
        <v>25</v>
      </c>
      <c r="N31" s="14" t="n">
        <v>102.7677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4.2</v>
      </c>
      <c r="S31" s="12" t="inlineStr">
        <is>
          <t>★★☆☆☆</t>
        </is>
      </c>
      <c r="T31" s="12" t="n">
        <v>4</v>
      </c>
      <c r="U31" s="12" t="n">
        <v>3.5</v>
      </c>
      <c r="V31" s="12" t="n">
        <v>4.5</v>
      </c>
      <c r="W31" s="12" t="n">
        <v>89.09999999999999</v>
      </c>
      <c r="X31" s="13" t="inlineStr">
        <is>
          <t>營收仍增但營業利益率驟降至0.11%，獲利品質嚴重惡化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2026-10-15</t>
        </is>
      </c>
      <c r="AF31" s="13" t="inlineStr">
        <is>
          <t>報表幣別 CNY → 交易幣別 HKD，匯率 1.1714</t>
        </is>
      </c>
    </row>
    <row r="32">
      <c r="A32" s="12" t="inlineStr">
        <is>
          <t>HK</t>
        </is>
      </c>
      <c r="B32" s="12" t="inlineStr">
        <is>
          <t>00358</t>
        </is>
      </c>
      <c r="C32" s="13" t="inlineStr">
        <is>
          <t>江西铜业股份</t>
        </is>
      </c>
      <c r="D32" s="14" t="n">
        <v>32.12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41.5</v>
      </c>
      <c r="J32" s="14" t="n">
        <v>11.4469</v>
      </c>
      <c r="K32" s="14" t="n">
        <v>52.464</v>
      </c>
      <c r="L32" s="15" t="n">
        <v>-22.6</v>
      </c>
      <c r="M32" s="15" t="n">
        <v>25</v>
      </c>
      <c r="N32" s="14" t="n">
        <v>31.125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82.2</v>
      </c>
      <c r="X32" s="13" t="inlineStr">
        <is>
          <t>盈利持續但現金流轉負、槓桿偏高，財務體質承壓</t>
        </is>
      </c>
      <c r="Y32" s="15" t="n">
        <v>13.5</v>
      </c>
      <c r="Z32" s="15" t="n">
        <v>7.3</v>
      </c>
      <c r="AA32" s="15" t="n">
        <v>4.6</v>
      </c>
      <c r="AB32" s="15" t="n">
        <v>65.5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2026-10-13</t>
        </is>
      </c>
      <c r="AF32" s="13" t="inlineStr">
        <is>
          <t>報表幣別 CNY → 交易幣別 HKD，匯率 1.1714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26.8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30.7241</v>
      </c>
      <c r="J33" s="14" t="n">
        <v>16.3385</v>
      </c>
      <c r="K33" s="14" t="n">
        <v>19.8586</v>
      </c>
      <c r="L33" s="15" t="n">
        <v>-12.8</v>
      </c>
      <c r="M33" s="15" t="n">
        <v>25</v>
      </c>
      <c r="N33" s="14" t="n">
        <v>23.0431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92.8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2026-10-15</t>
        </is>
      </c>
      <c r="AF33" s="13" t="inlineStr">
        <is>
          <t>報表幣別 USD → 交易幣別 HKD，匯率 7.8480</t>
        </is>
      </c>
    </row>
    <row r="34">
      <c r="A34" s="12" t="inlineStr">
        <is>
          <t>CN</t>
        </is>
      </c>
      <c r="B34" s="12" t="inlineStr">
        <is>
          <t>002335</t>
        </is>
      </c>
      <c r="C34" s="13" t="inlineStr">
        <is>
          <t>科华数据</t>
        </is>
      </c>
      <c r="D34" s="14" t="n">
        <v>26.28</v>
      </c>
      <c r="E34" s="13" t="inlineStr"/>
      <c r="F34" s="12" t="inlineStr">
        <is>
          <t>mature</t>
        </is>
      </c>
      <c r="G34" s="12" t="inlineStr">
        <is>
          <t>CNY</t>
        </is>
      </c>
      <c r="H34" s="13" t="inlineStr"/>
      <c r="I34" s="14" t="n">
        <v>23.0769</v>
      </c>
      <c r="J34" s="14" t="n">
        <v>8.570600000000001</v>
      </c>
      <c r="K34" s="14" t="n">
        <v>15.399</v>
      </c>
      <c r="L34" s="15" t="n">
        <v>13.9</v>
      </c>
      <c r="M34" s="15" t="n">
        <v>25</v>
      </c>
      <c r="N34" s="14" t="n">
        <v>17.3077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昂貴</t>
        </is>
      </c>
      <c r="R34" s="12" t="n">
        <v>3.3</v>
      </c>
      <c r="S34" s="12" t="inlineStr">
        <is>
          <t>★★☆☆☆</t>
        </is>
      </c>
      <c r="T34" s="12" t="n">
        <v>3</v>
      </c>
      <c r="U34" s="12" t="n">
        <v>4</v>
      </c>
      <c r="V34" s="12" t="n">
        <v>3</v>
      </c>
      <c r="W34" s="12" t="n">
        <v>94.7</v>
      </c>
      <c r="X34" s="13" t="inlineStr">
        <is>
          <t>現金流穩健但獲利薄、ROIC未達資本成本，財務體質中等偏弱</t>
        </is>
      </c>
      <c r="Y34" s="15" t="n">
        <v>8.9</v>
      </c>
      <c r="Z34" s="15" t="n">
        <v>7.9</v>
      </c>
      <c r="AA34" s="15" t="n">
        <v>24.3</v>
      </c>
      <c r="AB34" s="15" t="n">
        <v>53.9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2026-10-15</t>
        </is>
      </c>
      <c r="AF34" s="13" t="inlineStr">
        <is>
          <t>行情總股本(755,860,409)與財報EPS反推(516,847,311)差異&gt;25%，已改用反推值</t>
        </is>
      </c>
    </row>
    <row r="35">
      <c r="A35" s="12" t="inlineStr">
        <is>
          <t>US</t>
        </is>
      </c>
      <c r="B35" s="12" t="inlineStr">
        <is>
          <t>UNH</t>
        </is>
      </c>
      <c r="C35" s="13" t="inlineStr">
        <is>
          <t>联合健康</t>
        </is>
      </c>
      <c r="D35" s="14" t="n">
        <v>378.04</v>
      </c>
      <c r="E35" s="13" t="inlineStr"/>
      <c r="F35" s="12" t="inlineStr">
        <is>
          <t>mature</t>
        </is>
      </c>
      <c r="G35" s="12" t="inlineStr">
        <is>
          <t>USD</t>
        </is>
      </c>
      <c r="H35" s="13" t="inlineStr"/>
      <c r="I35" s="14" t="n">
        <v>369.4244</v>
      </c>
      <c r="J35" s="14" t="n">
        <v>64.4277</v>
      </c>
      <c r="K35" s="14" t="n">
        <v>314.2098</v>
      </c>
      <c r="L35" s="15" t="n">
        <v>2.3</v>
      </c>
      <c r="M35" s="15" t="n">
        <v>25</v>
      </c>
      <c r="N35" s="14" t="n">
        <v>277.0683</v>
      </c>
      <c r="O35" s="12" t="inlineStr">
        <is>
          <t>否</t>
        </is>
      </c>
      <c r="P35" s="16" t="inlineStr">
        <is>
          <t>合理</t>
        </is>
      </c>
      <c r="Q35" s="12" t="inlineStr">
        <is>
          <t>合理</t>
        </is>
      </c>
      <c r="R35" s="12" t="n">
        <v>2.5</v>
      </c>
      <c r="S35" s="12" t="inlineStr">
        <is>
          <t>★☆☆☆☆</t>
        </is>
      </c>
      <c r="T35" s="12" t="n">
        <v>2</v>
      </c>
      <c r="U35" s="12" t="n">
        <v>3</v>
      </c>
      <c r="V35" s="12" t="n">
        <v>3</v>
      </c>
      <c r="W35" s="12" t="n">
        <v>80.5</v>
      </c>
      <c r="X35" s="13" t="inlineStr">
        <is>
          <t>營收十年CAGR逾10%，但淨利率僅1.8%、ROIC不足2%</t>
        </is>
      </c>
      <c r="Y35" s="15" t="n">
        <v>2.1</v>
      </c>
      <c r="Z35" s="15" t="n">
        <v>1.7</v>
      </c>
      <c r="AA35" s="15" t="n">
        <v>3.8</v>
      </c>
      <c r="AB35" s="15" t="n">
        <v>65.8</v>
      </c>
      <c r="AC35" s="12" t="inlineStr">
        <is>
          <t>2025</t>
        </is>
      </c>
      <c r="AD35" s="12" t="inlineStr">
        <is>
          <t>2026-06-30</t>
        </is>
      </c>
      <c r="AE35" s="12" t="inlineStr">
        <is>
          <t>2026-10-13</t>
        </is>
      </c>
      <c r="AF35" s="13" t="inlineStr">
        <is>
          <t>行情總股本(897,594,847)與財報EPS反推(7,086,596,386)差異&gt;25%，已改用反推值 / 缺關鍵科目：cfo,capex</t>
        </is>
      </c>
    </row>
    <row r="36">
      <c r="A36" s="17" t="inlineStr">
        <is>
          <t>HK</t>
        </is>
      </c>
      <c r="B36" s="17" t="inlineStr">
        <is>
          <t>01816</t>
        </is>
      </c>
      <c r="C36" s="18" t="inlineStr">
        <is>
          <t>中广核电力</t>
        </is>
      </c>
      <c r="D36" s="19" t="n">
        <v>3.25</v>
      </c>
      <c r="E36" s="18" t="inlineStr"/>
      <c r="F36" s="17" t="inlineStr">
        <is>
          <t>mature</t>
        </is>
      </c>
      <c r="G36" s="17" t="inlineStr">
        <is>
          <t>HKD</t>
        </is>
      </c>
      <c r="H36" s="18" t="inlineStr"/>
      <c r="I36" s="19" t="n">
        <v>2.33</v>
      </c>
      <c r="J36" s="19" t="n">
        <v>1.8224</v>
      </c>
      <c r="K36" s="19" t="n">
        <v>4.0048</v>
      </c>
      <c r="L36" s="20" t="n">
        <v>39.5</v>
      </c>
      <c r="M36" s="20" t="n">
        <v>25</v>
      </c>
      <c r="N36" s="19" t="n">
        <v>1.7475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4</v>
      </c>
      <c r="U36" s="17" t="n">
        <v>5</v>
      </c>
      <c r="V36" s="17" t="n">
        <v>4</v>
      </c>
      <c r="W36" s="17" t="n">
        <v>81</v>
      </c>
      <c r="X36" s="18" t="inlineStr">
        <is>
          <t>高槓桿重資本週期，自由現金流為負，獲利穩定但再投資報酬偏低</t>
        </is>
      </c>
      <c r="Y36" s="20" t="n">
        <v>8</v>
      </c>
      <c r="Z36" s="20" t="n">
        <v>4.6</v>
      </c>
      <c r="AA36" s="20" t="n">
        <v>33.3</v>
      </c>
      <c r="AB36" s="20" t="n">
        <v>68.2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2026-10-15</t>
        </is>
      </c>
      <c r="AF36" s="18" t="inlineStr">
        <is>
          <t>缺關鍵科目：d_and_a / 報表幣別 CNY → 交易幣別 HKD，匯率 1.1714</t>
        </is>
      </c>
    </row>
    <row r="37">
      <c r="A37" s="17" t="inlineStr">
        <is>
          <t>CN</t>
        </is>
      </c>
      <c r="B37" s="17" t="inlineStr">
        <is>
          <t>600900</t>
        </is>
      </c>
      <c r="C37" s="18" t="inlineStr">
        <is>
          <t>长江电力</t>
        </is>
      </c>
      <c r="D37" s="19" t="n">
        <v>29.39</v>
      </c>
      <c r="E37" s="18" t="inlineStr"/>
      <c r="F37" s="17" t="inlineStr">
        <is>
          <t>mature</t>
        </is>
      </c>
      <c r="G37" s="17" t="inlineStr">
        <is>
          <t>CNY</t>
        </is>
      </c>
      <c r="H37" s="18" t="inlineStr"/>
      <c r="I37" s="19" t="n">
        <v>20.5401</v>
      </c>
      <c r="J37" s="19" t="n">
        <v>16.2467</v>
      </c>
      <c r="K37" s="19" t="n">
        <v>22.7622</v>
      </c>
      <c r="L37" s="20" t="n">
        <v>43.1</v>
      </c>
      <c r="M37" s="20" t="n">
        <v>25</v>
      </c>
      <c r="N37" s="19" t="n">
        <v>15.4051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4.3</v>
      </c>
      <c r="S37" s="17" t="inlineStr">
        <is>
          <t>★★☆☆☆</t>
        </is>
      </c>
      <c r="T37" s="17" t="n">
        <v>3</v>
      </c>
      <c r="U37" s="17" t="n">
        <v>6.5</v>
      </c>
      <c r="V37" s="17" t="n">
        <v>4</v>
      </c>
      <c r="W37" s="17" t="n">
        <v>94.3</v>
      </c>
      <c r="X37" s="18" t="inlineStr">
        <is>
          <t>毛利率62%、ROE穩定近17%，惟負債權益比1.31、流動比率僅0.20</t>
        </is>
      </c>
      <c r="Y37" s="20" t="n">
        <v>17</v>
      </c>
      <c r="Z37" s="20" t="n">
        <v>7.6</v>
      </c>
      <c r="AA37" s="20" t="n">
        <v>62.4</v>
      </c>
      <c r="AB37" s="20" t="n">
        <v>59.4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2026-10-15</t>
        </is>
      </c>
      <c r="AF37" s="18" t="inlineStr"/>
    </row>
    <row r="38">
      <c r="A38" s="17" t="inlineStr">
        <is>
          <t>HK</t>
        </is>
      </c>
      <c r="B38" s="17" t="inlineStr">
        <is>
          <t>03750</t>
        </is>
      </c>
      <c r="C38" s="18" t="inlineStr">
        <is>
          <t>宁德时代</t>
        </is>
      </c>
      <c r="D38" s="19" t="n">
        <v>449.8</v>
      </c>
      <c r="E38" s="18" t="inlineStr"/>
      <c r="F38" s="17" t="inlineStr">
        <is>
          <t>mature</t>
        </is>
      </c>
      <c r="G38" s="17" t="inlineStr">
        <is>
          <t>HKD</t>
        </is>
      </c>
      <c r="H38" s="18" t="inlineStr">
        <is>
          <t>寧德港股</t>
        </is>
      </c>
      <c r="I38" s="19" t="n">
        <v>385.531</v>
      </c>
      <c r="J38" s="19" t="n">
        <v>171.2095</v>
      </c>
      <c r="K38" s="19" t="n">
        <v>311.1285</v>
      </c>
      <c r="L38" s="20" t="n">
        <v>16.7</v>
      </c>
      <c r="M38" s="20" t="n">
        <v>25</v>
      </c>
      <c r="N38" s="19" t="n">
        <v>289.1483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4</v>
      </c>
      <c r="S38" s="17" t="inlineStr">
        <is>
          <t>★★☆☆☆</t>
        </is>
      </c>
      <c r="T38" s="17" t="n">
        <v>2</v>
      </c>
      <c r="U38" s="17" t="n">
        <v>5.5</v>
      </c>
      <c r="V38" s="17" t="n">
        <v>4</v>
      </c>
      <c r="W38" s="17" t="n">
        <v>81.09999999999999</v>
      </c>
      <c r="X38" s="18" t="inlineStr">
        <is>
          <t>ROE逾22%、淨現金1,206億，獲利與現金流品質優異</t>
        </is>
      </c>
      <c r="Y38" s="20" t="n">
        <v>22.4</v>
      </c>
      <c r="Z38" s="20" t="n">
        <v>34.4</v>
      </c>
      <c r="AA38" s="20" t="n">
        <v>25.5</v>
      </c>
      <c r="AB38" s="20" t="n">
        <v>63.7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2026-10-15</t>
        </is>
      </c>
      <c r="AF38" s="18" t="inlineStr">
        <is>
          <t>缺關鍵科目：d_and_a / 報表幣別 CNY → 交易幣別 HKD，匯率 1.1714</t>
        </is>
      </c>
    </row>
    <row r="39">
      <c r="A39" s="17" t="inlineStr">
        <is>
          <t>CN</t>
        </is>
      </c>
      <c r="B39" s="17" t="inlineStr">
        <is>
          <t>601138</t>
        </is>
      </c>
      <c r="C39" s="18" t="inlineStr">
        <is>
          <t>工业富联</t>
        </is>
      </c>
      <c r="D39" s="19" t="n">
        <v>47.21</v>
      </c>
      <c r="E39" s="18" t="inlineStr"/>
      <c r="F39" s="17" t="inlineStr">
        <is>
          <t>growth</t>
        </is>
      </c>
      <c r="G39" s="17" t="inlineStr">
        <is>
          <t>CNY</t>
        </is>
      </c>
      <c r="H39" s="18" t="inlineStr"/>
      <c r="I39" s="19" t="n">
        <v>35.8397</v>
      </c>
      <c r="J39" s="19" t="n">
        <v>25.7507</v>
      </c>
      <c r="K39" s="19" t="n">
        <v>36.7152</v>
      </c>
      <c r="L39" s="20" t="n">
        <v>31.7</v>
      </c>
      <c r="M39" s="20" t="n">
        <v>25</v>
      </c>
      <c r="N39" s="19" t="n">
        <v>26.8798</v>
      </c>
      <c r="O39" s="17" t="inlineStr">
        <is>
          <t>否</t>
        </is>
      </c>
      <c r="P39" s="21" t="inlineStr">
        <is>
          <t>昂貴</t>
        </is>
      </c>
      <c r="Q39" s="17" t="inlineStr">
        <is>
          <t>非常昂貴</t>
        </is>
      </c>
      <c r="R39" s="17" t="n">
        <v>3.5</v>
      </c>
      <c r="S39" s="17" t="inlineStr">
        <is>
          <t>★★☆☆☆</t>
        </is>
      </c>
      <c r="T39" s="17" t="n">
        <v>3</v>
      </c>
      <c r="U39" s="17" t="n">
        <v>4</v>
      </c>
      <c r="V39" s="17" t="n">
        <v>4</v>
      </c>
      <c r="W39" s="17" t="n">
        <v>92.3</v>
      </c>
      <c r="X39" s="18" t="inlineStr">
        <is>
          <t>營收高增但自由現金流為負，薄利模式高度依賴資本開支擴張</t>
        </is>
      </c>
      <c r="Y39" s="20" t="n">
        <v>26.7</v>
      </c>
      <c r="Z39" s="20" t="n">
        <v>25.6</v>
      </c>
      <c r="AA39" s="20" t="n">
        <v>7.2</v>
      </c>
      <c r="AB39" s="20" t="n">
        <v>65.7</v>
      </c>
      <c r="AC39" s="17" t="inlineStr">
        <is>
          <t>2025</t>
        </is>
      </c>
      <c r="AD39" s="17" t="inlineStr">
        <is>
          <t>2026-06-30</t>
        </is>
      </c>
      <c r="AE39" s="17" t="inlineStr">
        <is>
          <t>2026-10-15</t>
        </is>
      </c>
      <c r="AF39" s="18" t="inlineStr">
        <is>
          <t>缺關鍵科目：d_and_a</t>
        </is>
      </c>
    </row>
    <row r="40">
      <c r="A40" s="17" t="inlineStr">
        <is>
          <t>HK</t>
        </is>
      </c>
      <c r="B40" s="17" t="inlineStr">
        <is>
          <t>06613</t>
        </is>
      </c>
      <c r="C40" s="18" t="inlineStr">
        <is>
          <t>蓝思科技</t>
        </is>
      </c>
      <c r="D40" s="19" t="n">
        <v>17.37</v>
      </c>
      <c r="E40" s="18" t="inlineStr"/>
      <c r="F40" s="17" t="inlineStr">
        <is>
          <t>mature</t>
        </is>
      </c>
      <c r="G40" s="17" t="inlineStr">
        <is>
          <t>HKD</t>
        </is>
      </c>
      <c r="H40" s="18" t="inlineStr"/>
      <c r="I40" s="19" t="n">
        <v>12.1643</v>
      </c>
      <c r="J40" s="19" t="n">
        <v>6.6255</v>
      </c>
      <c r="K40" s="19" t="n">
        <v>9.742599999999999</v>
      </c>
      <c r="L40" s="20" t="n">
        <v>42.8</v>
      </c>
      <c r="M40" s="20" t="n">
        <v>25</v>
      </c>
      <c r="N40" s="19" t="n">
        <v>9.123200000000001</v>
      </c>
      <c r="O40" s="17" t="inlineStr">
        <is>
          <t>否</t>
        </is>
      </c>
      <c r="P40" s="21" t="inlineStr">
        <is>
          <t>昂貴</t>
        </is>
      </c>
      <c r="Q40" s="17" t="inlineStr">
        <is>
          <t>非常昂貴</t>
        </is>
      </c>
      <c r="R40" s="17" t="n">
        <v>3</v>
      </c>
      <c r="S40" s="17" t="inlineStr">
        <is>
          <t>★★☆☆☆</t>
        </is>
      </c>
      <c r="T40" s="17" t="n">
        <v>2.5</v>
      </c>
      <c r="U40" s="17" t="n">
        <v>4</v>
      </c>
      <c r="V40" s="17" t="n">
        <v>3</v>
      </c>
      <c r="W40" s="17" t="n">
        <v>85.2</v>
      </c>
      <c r="X40" s="18" t="inlineStr">
        <is>
          <t>獲利穩定但利潤率薄，資本密集致自由現金流極弱</t>
        </is>
      </c>
      <c r="Y40" s="20" t="n">
        <v>6.5</v>
      </c>
      <c r="Z40" s="20" t="n">
        <v>6.3</v>
      </c>
      <c r="AA40" s="20" t="n">
        <v>15.7</v>
      </c>
      <c r="AB40" s="20" t="n">
        <v>37.5</v>
      </c>
      <c r="AC40" s="17" t="inlineStr">
        <is>
          <t>2025</t>
        </is>
      </c>
      <c r="AD40" s="17" t="inlineStr">
        <is>
          <t>2026-06-30</t>
        </is>
      </c>
      <c r="AE40" s="17" t="inlineStr">
        <is>
          <t>2026-10-15</t>
        </is>
      </c>
      <c r="AF40" s="18" t="inlineStr">
        <is>
          <t>報表幣別 CNY → 交易幣別 HKD，匯率 1.1714</t>
        </is>
      </c>
    </row>
    <row r="41">
      <c r="A41" s="22" t="inlineStr">
        <is>
          <t>HK</t>
        </is>
      </c>
      <c r="B41" s="22" t="inlineStr">
        <is>
          <t>02359</t>
        </is>
      </c>
      <c r="C41" s="23" t="inlineStr">
        <is>
          <t>药明康德</t>
        </is>
      </c>
      <c r="D41" s="24" t="n">
        <v>203.4</v>
      </c>
      <c r="E41" s="23" t="inlineStr"/>
      <c r="F41" s="22" t="inlineStr">
        <is>
          <t>growth</t>
        </is>
      </c>
      <c r="G41" s="22" t="inlineStr">
        <is>
          <t>HKD</t>
        </is>
      </c>
      <c r="H41" s="23" t="inlineStr"/>
      <c r="I41" s="24" t="n">
        <v>108.2623</v>
      </c>
      <c r="J41" s="24" t="n">
        <v>76.5514</v>
      </c>
      <c r="K41" s="24" t="n">
        <v>112.5333</v>
      </c>
      <c r="L41" s="25" t="n">
        <v>87.90000000000001</v>
      </c>
      <c r="M41" s="25" t="n">
        <v>25</v>
      </c>
      <c r="N41" s="24" t="n">
        <v>81.19670000000001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4.2</v>
      </c>
      <c r="S41" s="22" t="inlineStr">
        <is>
          <t>★★☆☆☆</t>
        </is>
      </c>
      <c r="T41" s="22" t="n">
        <v>3</v>
      </c>
      <c r="U41" s="22" t="n">
        <v>5.5</v>
      </c>
      <c r="V41" s="22" t="n">
        <v>4</v>
      </c>
      <c r="W41" s="22" t="n">
        <v>94</v>
      </c>
      <c r="X41" s="23" t="inlineStr">
        <is>
          <t>高毛利強現金流體質一流，惟估值遠超內在價值</t>
        </is>
      </c>
      <c r="Y41" s="25" t="n">
        <v>26.4</v>
      </c>
      <c r="Z41" s="25" t="n">
        <v>45.5</v>
      </c>
      <c r="AA41" s="25" t="n">
        <v>52</v>
      </c>
      <c r="AB41" s="25" t="n">
        <v>27.8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2026-10-15</t>
        </is>
      </c>
      <c r="AF41" s="23" t="inlineStr">
        <is>
          <t>報表幣別 CNY → 交易幣別 HKD，匯率 1.1714</t>
        </is>
      </c>
    </row>
    <row r="42">
      <c r="A42" s="22" t="inlineStr">
        <is>
          <t>CN</t>
        </is>
      </c>
      <c r="B42" s="22" t="inlineStr">
        <is>
          <t>600276</t>
        </is>
      </c>
      <c r="C42" s="23" t="inlineStr">
        <is>
          <t>恒瑞医药</t>
        </is>
      </c>
      <c r="D42" s="24" t="n">
        <v>45.72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28.4781</v>
      </c>
      <c r="J42" s="24" t="n">
        <v>16.1529</v>
      </c>
      <c r="K42" s="24" t="n">
        <v>22.6237</v>
      </c>
      <c r="L42" s="25" t="n">
        <v>60.5</v>
      </c>
      <c r="M42" s="25" t="n">
        <v>25</v>
      </c>
      <c r="N42" s="24" t="n">
        <v>21.3586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</v>
      </c>
      <c r="U42" s="22" t="n">
        <v>4.5</v>
      </c>
      <c r="V42" s="22" t="n">
        <v>3</v>
      </c>
      <c r="W42" s="22" t="n">
        <v>95.90000000000001</v>
      </c>
      <c r="X42" s="23" t="inlineStr">
        <is>
          <t>毛利率86%、淨現金387億，財務極穩健但估值嚴重偏離</t>
        </is>
      </c>
      <c r="Y42" s="25" t="n">
        <v>12</v>
      </c>
      <c r="Z42" s="25" t="n">
        <v>31</v>
      </c>
      <c r="AA42" s="25" t="n">
        <v>86.09999999999999</v>
      </c>
      <c r="AB42" s="25" t="n">
        <v>8.199999999999999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2026-10-14</t>
        </is>
      </c>
      <c r="AF42" s="23" t="inlineStr"/>
    </row>
    <row r="43">
      <c r="A43" s="22" t="inlineStr">
        <is>
          <t>HK</t>
        </is>
      </c>
      <c r="B43" s="22" t="inlineStr">
        <is>
          <t>00005</t>
        </is>
      </c>
      <c r="C43" s="23" t="inlineStr">
        <is>
          <t>汇丰控股</t>
        </is>
      </c>
      <c r="D43" s="24" t="n">
        <v>147.6</v>
      </c>
      <c r="E43" s="23" t="inlineStr"/>
      <c r="F43" s="22" t="inlineStr">
        <is>
          <t>financial</t>
        </is>
      </c>
      <c r="G43" s="22" t="inlineStr">
        <is>
          <t>HKD</t>
        </is>
      </c>
      <c r="H43" s="23" t="inlineStr"/>
      <c r="I43" s="24" t="n">
        <v>92.6298</v>
      </c>
      <c r="J43" s="24" t="n">
        <v>50.6175</v>
      </c>
      <c r="K43" s="24" t="n">
        <v>147.4051</v>
      </c>
      <c r="L43" s="25" t="n">
        <v>59.3</v>
      </c>
      <c r="M43" s="25" t="n">
        <v>25</v>
      </c>
      <c r="N43" s="24" t="n">
        <v>69.47239999999999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</v>
      </c>
      <c r="U43" s="22" t="n">
        <v>4</v>
      </c>
      <c r="V43" s="22" t="n">
        <v>4</v>
      </c>
      <c r="W43" s="22" t="n">
        <v>70.40000000000001</v>
      </c>
      <c r="X43" s="23" t="inlineStr">
        <is>
          <t>十年持續獲利、現金流充沛，但槓桿極高且派息率異常</t>
        </is>
      </c>
      <c r="Y43" s="25" t="n">
        <v>12.3</v>
      </c>
      <c r="Z43" s="25" t="n">
        <v>12.1</v>
      </c>
      <c r="AA43" s="25" t="inlineStr"/>
      <c r="AB43" s="25" t="n">
        <v>94.3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2026-10-15</t>
        </is>
      </c>
      <c r="AF43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4">
      <c r="A44" s="22" t="inlineStr">
        <is>
          <t>CN</t>
        </is>
      </c>
      <c r="B44" s="22" t="inlineStr">
        <is>
          <t>600436</t>
        </is>
      </c>
      <c r="C44" s="23" t="inlineStr">
        <is>
          <t>片仔癀</t>
        </is>
      </c>
      <c r="D44" s="24" t="n">
        <v>121.59</v>
      </c>
      <c r="E44" s="23" t="inlineStr"/>
      <c r="F44" s="22" t="inlineStr">
        <is>
          <t>mature</t>
        </is>
      </c>
      <c r="G44" s="22" t="inlineStr">
        <is>
          <t>CNY</t>
        </is>
      </c>
      <c r="H44" s="23" t="inlineStr"/>
      <c r="I44" s="24" t="n">
        <v>50.5491</v>
      </c>
      <c r="J44" s="24" t="n">
        <v>39.5892</v>
      </c>
      <c r="K44" s="24" t="n">
        <v>50.2832</v>
      </c>
      <c r="L44" s="25" t="n">
        <v>140.5</v>
      </c>
      <c r="M44" s="25" t="n">
        <v>25</v>
      </c>
      <c r="N44" s="24" t="n">
        <v>37.9119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5</v>
      </c>
      <c r="U44" s="22" t="n">
        <v>4</v>
      </c>
      <c r="V44" s="22" t="n">
        <v>3.5</v>
      </c>
      <c r="W44" s="22" t="n">
        <v>96.2</v>
      </c>
      <c r="X44" s="23" t="inlineStr">
        <is>
          <t>獲利仍存但現金流驟降、毛利率與ROE明顯承壓</t>
        </is>
      </c>
      <c r="Y44" s="25" t="n">
        <v>12.2</v>
      </c>
      <c r="Z44" s="25" t="n">
        <v>13.2</v>
      </c>
      <c r="AA44" s="25" t="n">
        <v>35.7</v>
      </c>
      <c r="AB44" s="25" t="n">
        <v>18.2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2026-10-15</t>
        </is>
      </c>
      <c r="AF44" s="23" t="inlineStr"/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371.8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137.2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3.4</v>
      </c>
      <c r="S45" s="22" t="inlineStr">
        <is>
          <t>★★☆☆☆</t>
        </is>
      </c>
      <c r="T45" s="22" t="n">
        <v>2.5</v>
      </c>
      <c r="U45" s="22" t="n">
        <v>4.5</v>
      </c>
      <c r="V45" s="22" t="n">
        <v>3.2</v>
      </c>
      <c r="W45" s="22" t="n">
        <v>82.8</v>
      </c>
      <c r="X45" s="23" t="inlineStr">
        <is>
          <t>營業利益十年穩增、現金流充裕，但歸母淨利波動大且估值極高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2026-10-15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107.6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68.5534</v>
      </c>
      <c r="J46" s="24" t="n">
        <v>58.9151</v>
      </c>
      <c r="K46" s="24" t="n">
        <v>64.3249</v>
      </c>
      <c r="L46" s="25" t="n">
        <v>57</v>
      </c>
      <c r="M46" s="25" t="n">
        <v>25</v>
      </c>
      <c r="N46" s="24" t="n">
        <v>51.415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2026-10-15</t>
        </is>
      </c>
      <c r="AF46" s="23" t="inlineStr">
        <is>
          <t>報表幣別 CNY → 交易幣別 HKD，匯率 1.1714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303.88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81.5895</v>
      </c>
      <c r="J47" s="24" t="n">
        <v>56.4053</v>
      </c>
      <c r="K47" s="24" t="n">
        <v>81.38590000000001</v>
      </c>
      <c r="L47" s="25" t="n">
        <v>272.4</v>
      </c>
      <c r="M47" s="25" t="n">
        <v>25</v>
      </c>
      <c r="N47" s="24" t="n">
        <v>61.1921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94.5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2026-10-14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345.79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49.1601</v>
      </c>
      <c r="J48" s="24" t="n">
        <v>9.446</v>
      </c>
      <c r="K48" s="24" t="n">
        <v>34.7808</v>
      </c>
      <c r="L48" s="25" t="n">
        <v>603.4</v>
      </c>
      <c r="M48" s="25" t="n">
        <v>25</v>
      </c>
      <c r="N48" s="24" t="n">
        <v>36.8701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2026-10-13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224.73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45.7473</v>
      </c>
      <c r="J49" s="24" t="n">
        <v>6.8361</v>
      </c>
      <c r="K49" s="24" t="n">
        <v>31.5866</v>
      </c>
      <c r="L49" s="25" t="n">
        <v>391.2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2026-10-13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236.94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2176.2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2026-10-15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260.5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143.3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2026-10-13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355.5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2.0171</v>
      </c>
      <c r="K52" s="24" t="n">
        <v>15.3128</v>
      </c>
      <c r="L52" s="25" t="n">
        <v>465.6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2026-10-13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1174.33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544.725</v>
      </c>
      <c r="J53" s="24" t="n">
        <v>58.8462</v>
      </c>
      <c r="K53" s="24" t="n">
        <v>202.834</v>
      </c>
      <c r="L53" s="25" t="n">
        <v>115.6</v>
      </c>
      <c r="M53" s="25" t="n">
        <v>25</v>
      </c>
      <c r="N53" s="24" t="n">
        <v>408.5437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2026-10-13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546.715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81.6728</v>
      </c>
      <c r="J54" s="24" t="n">
        <v>3.4472</v>
      </c>
      <c r="K54" s="24" t="n">
        <v>86.59699999999999</v>
      </c>
      <c r="L54" s="25" t="n">
        <v>569.4</v>
      </c>
      <c r="M54" s="25" t="n">
        <v>25</v>
      </c>
      <c r="N54" s="24" t="n">
        <v>61.2546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2026-10-13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393.515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54.2594</v>
      </c>
      <c r="J55" s="24" t="n">
        <v>9.348000000000001</v>
      </c>
      <c r="K55" s="24" t="n">
        <v>61.9902</v>
      </c>
      <c r="L55" s="25" t="n">
        <v>625.2</v>
      </c>
      <c r="M55" s="25" t="n">
        <v>25</v>
      </c>
      <c r="N55" s="24" t="n">
        <v>40.6946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2026-10-13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53.95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6.9093</v>
      </c>
      <c r="J56" s="24" t="n">
        <v>3.7798</v>
      </c>
      <c r="K56" s="24" t="n">
        <v>10.3793</v>
      </c>
      <c r="L56" s="25" t="n">
        <v>680.8</v>
      </c>
      <c r="M56" s="25" t="n">
        <v>25</v>
      </c>
      <c r="N56" s="24" t="n">
        <v>5.182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82.8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2026-10-13</t>
        </is>
      </c>
      <c r="AF56" s="23" t="inlineStr">
        <is>
          <t>報表幣別 USD → 交易幣別 HKD，匯率 7.8480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413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6082.2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2026-10-15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338.28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26.9668</v>
      </c>
      <c r="J58" s="24" t="n">
        <v>1.7995</v>
      </c>
      <c r="K58" s="24" t="n">
        <v>8.8208</v>
      </c>
      <c r="L58" s="25" t="n">
        <v>1154.4</v>
      </c>
      <c r="M58" s="25" t="n">
        <v>25</v>
      </c>
      <c r="N58" s="24" t="n">
        <v>20.2251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2026-10-13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191.55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21.4772</v>
      </c>
      <c r="J59" s="24" t="n">
        <v>4.7985</v>
      </c>
      <c r="K59" s="24" t="n">
        <v>5.04</v>
      </c>
      <c r="L59" s="25" t="n">
        <v>791.9</v>
      </c>
      <c r="M59" s="25" t="n">
        <v>25</v>
      </c>
      <c r="N59" s="24" t="n">
        <v>16.1079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2026-10-13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152.815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655.7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2026-10-13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32.115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636.3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2026-10-13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113.75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8.831300000000001</v>
      </c>
      <c r="J62" s="24" t="n">
        <v>0.1988</v>
      </c>
      <c r="K62" s="24" t="n">
        <v>9.5785</v>
      </c>
      <c r="L62" s="25" t="n">
        <v>1188</v>
      </c>
      <c r="M62" s="25" t="n">
        <v>25</v>
      </c>
      <c r="N62" s="24" t="n">
        <v>6.6234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74.40000000000001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2026-10-13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76.2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14.0495</v>
      </c>
      <c r="J63" s="24" t="n">
        <v>4.8146</v>
      </c>
      <c r="K63" s="24" t="n">
        <v>58.4973</v>
      </c>
      <c r="L63" s="25" t="n">
        <v>442.4</v>
      </c>
      <c r="M63" s="25" t="n">
        <v>25</v>
      </c>
      <c r="N63" s="24" t="n">
        <v>10.5371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2026-10-15</t>
        </is>
      </c>
      <c r="AF63" s="23" t="inlineStr">
        <is>
          <t>報表幣別 CNY → 交易幣別 HKD，匯率 1.1714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90.20999999999999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542.1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2026-10-13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1.145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0.0969</v>
      </c>
      <c r="J65" s="24" t="n">
        <v>0.0897</v>
      </c>
      <c r="K65" s="24" t="n">
        <v>0.1254</v>
      </c>
      <c r="L65" s="25" t="n">
        <v>1081.6</v>
      </c>
      <c r="M65" s="25" t="n">
        <v>25</v>
      </c>
      <c r="N65" s="24" t="n">
        <v>0.0727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2026-10-15</t>
        </is>
      </c>
      <c r="AF65" s="23" t="inlineStr">
        <is>
          <t>報表幣別 CNY → 交易幣別 HKD，匯率 1.1714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376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8202.4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2026-10-13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4.795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159.0343</v>
      </c>
      <c r="J67" s="29" t="n">
        <v>4.672</v>
      </c>
      <c r="K67" s="29" t="n">
        <v>62.5355</v>
      </c>
      <c r="L67" s="30" t="n">
        <v>-97</v>
      </c>
      <c r="M67" s="30" t="n">
        <v>35</v>
      </c>
      <c r="N67" s="29" t="n">
        <v>103.3723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2026-10-15</t>
        </is>
      </c>
      <c r="AF67" s="28" t="inlineStr">
        <is>
          <t>報表幣別 CNY → 交易幣別 HKD，匯率 1.1714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153.786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/>
      <c r="I68" s="29" t="n">
        <v>19409.9873</v>
      </c>
      <c r="J68" s="29" t="n">
        <v>19409.9873</v>
      </c>
      <c r="K68" s="29" t="n">
        <v>19409.9873</v>
      </c>
      <c r="L68" s="30" t="n">
        <v>-99.2</v>
      </c>
      <c r="M68" s="30" t="n">
        <v>25</v>
      </c>
      <c r="N68" s="29" t="n">
        <v>14557.4905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2026-10-13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5.08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4.0169</v>
      </c>
      <c r="J69" s="29" t="n">
        <v>2.7787</v>
      </c>
      <c r="K69" s="29" t="n">
        <v>79.6524</v>
      </c>
      <c r="L69" s="30" t="n">
        <v>26.5</v>
      </c>
      <c r="M69" s="30" t="n">
        <v>25</v>
      </c>
      <c r="N69" s="29" t="n">
        <v>3.0127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2026-10-13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0.168</v>
      </c>
      <c r="E70" s="28" t="inlineStr"/>
      <c r="F70" s="27" t="inlineStr">
        <is>
          <t>mature</t>
        </is>
      </c>
      <c r="G70" s="27" t="inlineStr">
        <is>
          <t>HKD</t>
        </is>
      </c>
      <c r="H70" s="28" t="inlineStr"/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2026-10-15</t>
        </is>
      </c>
      <c r="AF70" s="28" t="inlineStr">
        <is>
          <t>行情總股本(46,851,231,829)與財報EPS反推(27,175,000,000)差異&gt;25%，已改用反推值 / 缺關鍵科目：capex / 報表幣別 CNY → 交易幣別 HKD，匯率 1.1714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147.6</v>
      </c>
      <c r="D2" s="34" t="n">
        <v>92.6298</v>
      </c>
      <c r="E2" s="34" t="n">
        <v>44.8685</v>
      </c>
      <c r="F2" s="34" t="n">
        <v>212.6457</v>
      </c>
      <c r="G2" s="34" t="inlineStr"/>
      <c r="H2" s="34" t="n">
        <v>147.4051</v>
      </c>
      <c r="I2" s="34" t="inlineStr"/>
      <c r="J2" s="34" t="inlineStr"/>
      <c r="K2" s="34" t="n">
        <v>94.6957</v>
      </c>
      <c r="L2" s="34" t="n">
        <v>50.6175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5.08</v>
      </c>
      <c r="D3" s="34" t="n">
        <v>4.0169</v>
      </c>
      <c r="E3" s="34" t="inlineStr"/>
      <c r="F3" s="34" t="inlineStr"/>
      <c r="G3" s="34" t="inlineStr"/>
      <c r="H3" s="34" t="n">
        <v>7.7314</v>
      </c>
      <c r="I3" s="34" t="n">
        <v>2.7787</v>
      </c>
      <c r="J3" s="34" t="inlineStr"/>
      <c r="K3" s="34" t="inlineStr"/>
      <c r="L3" s="34" t="n">
        <v>79.6524</v>
      </c>
      <c r="M3" s="34" t="n">
        <v>5.83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0.0583, "淨現金": -63645000000.0}, "damodaran_fcff": {"銷售/資本": 0.8, "g1": 0.0373, "永續g": 0.03, "目標營業利益率": 0.1444, "WACC": 0.0583,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1.145</v>
      </c>
      <c r="D4" s="34" t="n">
        <v>0.0969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0.1254</v>
      </c>
      <c r="L4" s="34" t="inlineStr"/>
      <c r="M4" s="34" t="n">
        <v>10.17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84.52</v>
      </c>
      <c r="D5" s="34" t="n">
        <v>107.1941</v>
      </c>
      <c r="E5" s="34" t="n">
        <v>58.4349</v>
      </c>
      <c r="F5" s="34" t="n">
        <v>147.7494</v>
      </c>
      <c r="G5" s="34" t="n">
        <v>2.5938</v>
      </c>
      <c r="H5" s="34" t="n">
        <v>163.0376</v>
      </c>
      <c r="I5" s="34" t="n">
        <v>69.1802</v>
      </c>
      <c r="J5" s="34" t="n">
        <v>88.2638</v>
      </c>
      <c r="K5" s="34" t="n">
        <v>136.1513</v>
      </c>
      <c r="L5" s="34" t="n">
        <v>111.3565</v>
      </c>
      <c r="M5" s="34" t="n">
        <v>8.19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27.8974}, "graham_formula": {"g(上限10%)": 0.081, "Y公司債": 0.04}, "ncav": {"NCAV/股": 2.5938, "NNWC/股": -33.0898, "net-net買點": 1.7301}, "buffett_oe": {"業主盈餘(TTM,中位3年)": 51588560000.0, "g1": 0.1206, "永續g": 0.021, "門檻報酬r": 0.085, "非營運投資(折70%)": 3239763800.0}, "epv": {"常態營業利益率": 0.1079, "常態NOPAT": 41817135357.0, "WACC": 0.0819, "淨現金": 14272378000.0}, "damodaran_fcff": {"銷售/資本": 2.353, "g1": 0.0987, "永續g": 0.021, "目標營業利益率": 0.1079, "WACC": 0.0819, "終值WACC": 0.089, "有效稅率": 0.1704, "終值佔比": 0.576}, "ri_pb": {"常態ROE": 0.2332, "股權成本r": 0.089, "留存成長g": 0.0518, "合理PB": 4.88}, "ddm": {"DPS": 4.5314,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39.53</v>
      </c>
      <c r="D6" s="34" t="n">
        <v>142.4738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62.0637</v>
      </c>
      <c r="J6" s="34" t="n">
        <v>48.7301</v>
      </c>
      <c r="K6" s="34" t="n">
        <v>808.3745</v>
      </c>
      <c r="L6" s="34" t="n">
        <v>151.0522</v>
      </c>
      <c r="M6" s="34" t="n">
        <v>7.06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0.0706, "淨現金": 44611454148.0}, "damodaran_fcff": {"銷售/資本": 1.571, "g1": -0.0345, "永續g": 0.021, "目標營業利益率": 0.1603, "WACC": 0.0706,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26.28</v>
      </c>
      <c r="D7" s="34" t="n">
        <v>23.0769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10.1922</v>
      </c>
      <c r="J7" s="34" t="n">
        <v>8.276899999999999</v>
      </c>
      <c r="K7" s="34" t="n">
        <v>8.570600000000001</v>
      </c>
      <c r="L7" s="34" t="n">
        <v>13.1089</v>
      </c>
      <c r="M7" s="34" t="n">
        <v>8.24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0.0824, "淨現金": -906634291.0}, "damodaran_fcff": {"銷售/資本": 1.113, "g1": 0.1305, "永續g": 0.021, "目標營業利益率": 0.0665, "WACC": 0.0824,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4" t="n">
        <v>3.8283</v>
      </c>
      <c r="E8" s="34" t="n">
        <v>2.8205</v>
      </c>
      <c r="F8" s="34" t="n">
        <v>3.9637</v>
      </c>
      <c r="G8" s="34" t="n">
        <v>0.4934</v>
      </c>
      <c r="H8" s="34" t="n">
        <v>7.9894</v>
      </c>
      <c r="I8" s="34" t="n">
        <v>2.4079</v>
      </c>
      <c r="J8" s="34" t="n">
        <v>2.2222</v>
      </c>
      <c r="K8" s="34" t="n">
        <v>1.2329</v>
      </c>
      <c r="L8" s="34" t="n">
        <v>2.919</v>
      </c>
      <c r="M8" s="34" t="n">
        <v>8.58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0.0858, "淨現金": 2074648000.0}, "damodaran_fcff": {"銷售/資本": 2.507, "g1": 0.0038, "永續g": 0.03, "目標營業利益率": 0.0458, "WACC": 0.0858,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32.12</v>
      </c>
      <c r="D9" s="34" t="n">
        <v>41.5</v>
      </c>
      <c r="E9" s="34" t="n">
        <v>39.5326</v>
      </c>
      <c r="F9" s="34" t="n">
        <v>52.464</v>
      </c>
      <c r="G9" s="34" t="n">
        <v>4.0363</v>
      </c>
      <c r="H9" s="34" t="inlineStr"/>
      <c r="I9" s="34" t="n">
        <v>22.4073</v>
      </c>
      <c r="J9" s="34" t="inlineStr"/>
      <c r="K9" s="34" t="n">
        <v>11.4469</v>
      </c>
      <c r="L9" s="34" t="n">
        <v>144.9163</v>
      </c>
      <c r="M9" s="34" t="n">
        <v>5.96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0.0596, "淨現金": -107039386000.0}, "damodaran_fcff": {"銷售/資本": 3.044, "g1": 0.0429, "永續g": 0.03, "目標營業利益率": 0.0217, "WACC": 0.0596, "終值WACC": 0.0995, "有效稅率": 0.2628, "終值佔比": 0.745}, "ri_pb": {"常態ROE": 0.0651, "股權成本r": 0.0995, "留存成長g": 0.0434, "合理PB": 0.386}, "ddm": {"DPS": 1.1355,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4.51</v>
      </c>
      <c r="D10" s="34" t="n">
        <v>9.2242</v>
      </c>
      <c r="E10" s="34" t="n">
        <v>9.3217</v>
      </c>
      <c r="F10" s="34" t="n">
        <v>3.1607</v>
      </c>
      <c r="G10" s="34" t="inlineStr"/>
      <c r="H10" s="34" t="n">
        <v>24.541</v>
      </c>
      <c r="I10" s="34" t="n">
        <v>5.768</v>
      </c>
      <c r="J10" s="34" t="n">
        <v>1.2742</v>
      </c>
      <c r="K10" s="34" t="n">
        <v>5.6472</v>
      </c>
      <c r="L10" s="34" t="n">
        <v>3.1978</v>
      </c>
      <c r="M10" s="34" t="n">
        <v>6.77</v>
      </c>
      <c r="N10" s="34" t="n">
        <v>9.949999999999999</v>
      </c>
      <c r="O10" s="32" t="n">
        <v>1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0.0677, "淨現金": -363061000000.0}, "damodaran_fcff": {"銷售/資本": 2.289, "g1": -0.05, "永續g": 0.03, "目標營業利益率": 0.0234, "WACC": 0.0677, "終值WACC": 0.0995, "有效稅率": 0.1864, "終值佔比": 0.428}, "ri_pb": {"常態ROE": 0.0716, "股權成本r": 0.0995, "留存成長g": 0.0089, "合理PB": 0.692}, "ddm": {"DPS": 0.2561, "g": 0.0052, "r": 0.0995}}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371.8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417.8</v>
      </c>
      <c r="D12" s="34" t="n">
        <v>664.9216</v>
      </c>
      <c r="E12" s="34" t="n">
        <v>284.1819</v>
      </c>
      <c r="F12" s="34" t="n">
        <v>472.1459</v>
      </c>
      <c r="G12" s="34" t="inlineStr"/>
      <c r="H12" s="34" t="n">
        <v>690.0866</v>
      </c>
      <c r="I12" s="34" t="n">
        <v>372.9239</v>
      </c>
      <c r="J12" s="34" t="n">
        <v>462.8557</v>
      </c>
      <c r="K12" s="34" t="n">
        <v>3879.6965</v>
      </c>
      <c r="L12" s="34" t="n">
        <v>614.293</v>
      </c>
      <c r="M12" s="34" t="n">
        <v>9.119999999999999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124.92}, "graham_formula": {"g(上限10%)": 0.08, "Y公司債": 0.056}, "ncav": {"NCAV/股": 0.0, "NNWC/股": -47.9431, "net-net買點": 0.0}, "buffett_oe": {"業主盈餘(TTM,中位3年)": 202308000000.0, "g1": 0.1058, "永續g": 0.03, "門檻報酬r": 0.0905, "非營運投資(折70%)": 642665100000.0}, "epv": {"常態營業利益率": 0.3189, "常態NOPAT": 206641814252.0, "WACC": 0.0912, "淨現金": -12924000000.0}, "damodaran_fcff": {"銷售/資本": 0.8, "g1": 0.1076, "永續g": 0.03, "目標營業利益率": 0.3189, "WACC": 0.0912,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5.635</v>
      </c>
      <c r="D13" s="34" t="n">
        <v>11.5233</v>
      </c>
      <c r="E13" s="34" t="n">
        <v>15.8842</v>
      </c>
      <c r="F13" s="34" t="n">
        <v>17.5754</v>
      </c>
      <c r="G13" s="34" t="inlineStr"/>
      <c r="H13" s="34" t="n">
        <v>12.4629</v>
      </c>
      <c r="I13" s="34" t="n">
        <v>11.6023</v>
      </c>
      <c r="J13" s="34" t="n">
        <v>8.4323</v>
      </c>
      <c r="K13" s="34" t="n">
        <v>5.961</v>
      </c>
      <c r="L13" s="34" t="n">
        <v>6.2692</v>
      </c>
      <c r="M13" s="34" t="n">
        <v>7.46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0.0746, "淨現金": 30851000000.0}, "damodaran_fcff": {"銷售/資本": 1.149, "g1": 0.0339, "永續g": 0.03, "目標營業利益率": 0.0496, "WACC": 0.0746,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9.135</v>
      </c>
      <c r="D14" s="34" t="n">
        <v>11.2345</v>
      </c>
      <c r="E14" s="34" t="n">
        <v>14.8828</v>
      </c>
      <c r="F14" s="34" t="n">
        <v>16.1012</v>
      </c>
      <c r="G14" s="34" t="inlineStr"/>
      <c r="H14" s="34" t="n">
        <v>24.7942</v>
      </c>
      <c r="I14" s="34" t="n">
        <v>4.5368</v>
      </c>
      <c r="J14" s="34" t="n">
        <v>2.1016</v>
      </c>
      <c r="K14" s="34" t="n">
        <v>3.5397</v>
      </c>
      <c r="L14" s="34" t="n">
        <v>7.4413</v>
      </c>
      <c r="M14" s="34" t="n">
        <v>7.11</v>
      </c>
      <c r="N14" s="34" t="n">
        <v>9.949999999999999</v>
      </c>
      <c r="O14" s="32" t="n">
        <v>1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0.0711, "淨現金": -94737000000.0}, "damodaran_fcff": {"銷售/資本": 0.8, "g1": 0.029, "永續g": 0.03, "目標營業利益率": 0.1543, "WACC": 0.0711, "終值WACC": 0.0995, "有效稅率": 0.2453, "終值佔比": 0.527}, "ri_pb": {"常態ROE": 0.0366, "股權成本r": 0.0995, "留存成長g": 0.0147, "合理PB": 0.259}, "ddm": {"DPS": 0.4548, "g": 0.026, "r": 0.0995}}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19.85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10.3</v>
      </c>
      <c r="D16" s="34" t="n">
        <v>22.665</v>
      </c>
      <c r="E16" s="34" t="n">
        <v>15.594</v>
      </c>
      <c r="F16" s="34" t="n">
        <v>23.0841</v>
      </c>
      <c r="G16" s="34" t="inlineStr"/>
      <c r="H16" s="34" t="n">
        <v>51.5534</v>
      </c>
      <c r="I16" s="34" t="n">
        <v>13.6014</v>
      </c>
      <c r="J16" s="34" t="n">
        <v>9.9411</v>
      </c>
      <c r="K16" s="34" t="n">
        <v>4.5859</v>
      </c>
      <c r="L16" s="34" t="n">
        <v>12.7141</v>
      </c>
      <c r="M16" s="34" t="n">
        <v>8.609999999999999</v>
      </c>
      <c r="N16" s="34" t="n">
        <v>9.949999999999999</v>
      </c>
      <c r="O16" s="32" t="n">
        <v>1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0.0861, "淨現金": -114814000000.0}, "damodaran_fcff": {"銷售/資本": 1.678, "g1": -0.0401, "永續g": 0.03, "目標營業利益率": 0.0765, "WACC": 0.0861, "終值WACC": 0.0995, "有效稅率": 0.2293, "終值佔比": 0.427}, "ri_pb": {"常態ROE": 0.0583, "股權成本r": 0.0995, "留存成長g": 0.0263, "合理PB": 0.437}, "ddm": {"DPS": 0.5282, "g": 0.0485, "r": 0.0995}}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24.2</v>
      </c>
      <c r="D17" s="34" t="n">
        <v>72.1931</v>
      </c>
      <c r="E17" s="34" t="n">
        <v>38.0247</v>
      </c>
      <c r="F17" s="34" t="n">
        <v>68.20310000000001</v>
      </c>
      <c r="G17" s="34" t="n">
        <v>1.229</v>
      </c>
      <c r="H17" s="34" t="n">
        <v>144.7627</v>
      </c>
      <c r="I17" s="34" t="n">
        <v>42.0368</v>
      </c>
      <c r="J17" s="34" t="n">
        <v>41.599</v>
      </c>
      <c r="K17" s="34" t="n">
        <v>65.1875</v>
      </c>
      <c r="L17" s="34" t="n">
        <v>162.2738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9.835000000000001</v>
      </c>
      <c r="D18" s="34" t="n">
        <v>131.6083</v>
      </c>
      <c r="E18" s="34" t="n">
        <v>7.3952</v>
      </c>
      <c r="F18" s="34" t="n">
        <v>20.2961</v>
      </c>
      <c r="G18" s="34" t="inlineStr"/>
      <c r="H18" s="34" t="n">
        <v>7.1527</v>
      </c>
      <c r="I18" s="34" t="inlineStr"/>
      <c r="J18" s="34" t="inlineStr"/>
      <c r="K18" s="34" t="n">
        <v>286.8424</v>
      </c>
      <c r="L18" s="34" t="n">
        <v>1.0697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80.75</v>
      </c>
      <c r="D19" s="34" t="n">
        <v>90.1469</v>
      </c>
      <c r="E19" s="34" t="n">
        <v>114.7406</v>
      </c>
      <c r="F19" s="34" t="n">
        <v>94.0859</v>
      </c>
      <c r="G19" s="34" t="inlineStr"/>
      <c r="H19" s="34" t="n">
        <v>93.0415</v>
      </c>
      <c r="I19" s="34" t="n">
        <v>87.54349999999999</v>
      </c>
      <c r="J19" s="34" t="n">
        <v>78.30670000000001</v>
      </c>
      <c r="K19" s="34" t="n">
        <v>91.7469</v>
      </c>
      <c r="L19" s="34" t="n">
        <v>84.83459999999999</v>
      </c>
      <c r="M19" s="34" t="n">
        <v>8.279999999999999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0.0828, "淨現金": 214985000000.0}, "damodaran_fcff": {"銷售/資本": 0.8, "g1": -0.0151, "永續g": 0.03, "目標營業利益率": 0.1391, "WACC": 0.0828,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4.795</v>
      </c>
      <c r="D20" s="34" t="n">
        <v>159.0343</v>
      </c>
      <c r="E20" s="34" t="n">
        <v>33.6934</v>
      </c>
      <c r="F20" s="34" t="n">
        <v>12.3612</v>
      </c>
      <c r="G20" s="34" t="inlineStr"/>
      <c r="H20" s="34" t="n">
        <v>62.5355</v>
      </c>
      <c r="I20" s="34" t="n">
        <v>4.672</v>
      </c>
      <c r="J20" s="34" t="inlineStr"/>
      <c r="K20" s="34" t="n">
        <v>438.8271</v>
      </c>
      <c r="L20" s="34" t="n">
        <v>0.4546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0.0386,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53.95</v>
      </c>
      <c r="D21" s="34" t="n">
        <v>6.9093</v>
      </c>
      <c r="E21" s="34" t="n">
        <v>19.14</v>
      </c>
      <c r="F21" s="34" t="n">
        <v>4.7172</v>
      </c>
      <c r="G21" s="34" t="inlineStr"/>
      <c r="H21" s="34" t="inlineStr"/>
      <c r="I21" s="34" t="n">
        <v>10.3793</v>
      </c>
      <c r="J21" s="34" t="n">
        <v>0.4868</v>
      </c>
      <c r="K21" s="34" t="n">
        <v>3.7798</v>
      </c>
      <c r="L21" s="34" t="inlineStr"/>
      <c r="M21" s="34" t="n">
        <v>11.42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0.1142, "淨現金": -1228240000.0}, "damodaran_fcff": {"銷售/資本": 0.8, "g1": 0.0864, "永續g": 0.03, "目標營業利益率": 0.119, "WACC": 0.1142,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26.8</v>
      </c>
      <c r="D22" s="34" t="n">
        <v>30.7241</v>
      </c>
      <c r="E22" s="34" t="n">
        <v>9.384600000000001</v>
      </c>
      <c r="F22" s="34" t="n">
        <v>19.8586</v>
      </c>
      <c r="G22" s="34" t="inlineStr"/>
      <c r="H22" s="34" t="n">
        <v>72.15349999999999</v>
      </c>
      <c r="I22" s="34" t="n">
        <v>16.3385</v>
      </c>
      <c r="J22" s="34" t="n">
        <v>18.749</v>
      </c>
      <c r="K22" s="34" t="n">
        <v>11.1083</v>
      </c>
      <c r="L22" s="34" t="n">
        <v>30.9112</v>
      </c>
      <c r="M22" s="34" t="n">
        <v>10.01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0.1001, "淨現金": -179318000.0}, "damodaran_fcff": {"銷售/資本": 4.0, "g1": 0.1028, "永續g": 0.03, "目標營業利益率": 0.0393, "WACC": 0.1001,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7.535</v>
      </c>
      <c r="D23" s="34" t="n">
        <v>99.1069</v>
      </c>
      <c r="E23" s="34" t="n">
        <v>5.5542</v>
      </c>
      <c r="F23" s="34" t="n">
        <v>13.1918</v>
      </c>
      <c r="G23" s="34" t="inlineStr"/>
      <c r="H23" s="34" t="n">
        <v>6.7965</v>
      </c>
      <c r="I23" s="34" t="inlineStr"/>
      <c r="J23" s="34" t="inlineStr"/>
      <c r="K23" s="34" t="n">
        <v>216.284</v>
      </c>
      <c r="L23" s="34" t="n">
        <v>0.9526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26.86</v>
      </c>
      <c r="D24" s="34" t="n">
        <v>28.9076</v>
      </c>
      <c r="E24" s="34" t="n">
        <v>17.5124</v>
      </c>
      <c r="F24" s="34" t="n">
        <v>24.9204</v>
      </c>
      <c r="G24" s="34" t="n">
        <v>1.4329</v>
      </c>
      <c r="H24" s="34" t="n">
        <v>32.1877</v>
      </c>
      <c r="I24" s="34" t="n">
        <v>21.4446</v>
      </c>
      <c r="J24" s="34" t="n">
        <v>26.5801</v>
      </c>
      <c r="K24" s="34" t="n">
        <v>94.6686</v>
      </c>
      <c r="L24" s="34" t="n">
        <v>15.9108</v>
      </c>
      <c r="M24" s="34" t="n">
        <v>9.550000000000001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10.4555},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0.0955, "淨現金": 82446791000.0}, "damodaran_fcff": {"銷售/資本": 2.34, "g1": 0.15, "永續g": 0.03, "目標營業利益率": 0.0738, "WACC": 0.0955, "終值WACC": 0.0995, "有效稅率": 0.1618, "終值佔比": 0.69}, "ri_pb": {"常態ROE": 0.1331, "股權成本r": 0.0995, "留存成長g": 0.0945, "合理PB": 7.729}, "ddm": {"DPS": 0.1247,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3.25</v>
      </c>
      <c r="D25" s="34" t="n">
        <v>2.33</v>
      </c>
      <c r="E25" s="34" t="n">
        <v>4.0048</v>
      </c>
      <c r="F25" s="34" t="n">
        <v>1.8224</v>
      </c>
      <c r="G25" s="34" t="inlineStr"/>
      <c r="H25" s="34" t="n">
        <v>1.9915</v>
      </c>
      <c r="I25" s="34" t="n">
        <v>1.2155</v>
      </c>
      <c r="J25" s="34" t="inlineStr"/>
      <c r="K25" s="34" t="n">
        <v>3.3875</v>
      </c>
      <c r="L25" s="34" t="n">
        <v>5.0217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0.168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50.25</v>
      </c>
      <c r="D27" s="34" t="n">
        <v>704.0964</v>
      </c>
      <c r="E27" s="34" t="n">
        <v>41.7708</v>
      </c>
      <c r="F27" s="34" t="n">
        <v>56.0168</v>
      </c>
      <c r="G27" s="34" t="inlineStr"/>
      <c r="H27" s="34" t="n">
        <v>137.4215</v>
      </c>
      <c r="I27" s="34" t="n">
        <v>65.8115</v>
      </c>
      <c r="J27" s="34" t="inlineStr"/>
      <c r="K27" s="34" t="n">
        <v>1674.3563</v>
      </c>
      <c r="L27" s="34" t="n">
        <v>45.1717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203.4</v>
      </c>
      <c r="D28" s="34" t="n">
        <v>108.2623</v>
      </c>
      <c r="E28" s="34" t="n">
        <v>55.7375</v>
      </c>
      <c r="F28" s="34" t="n">
        <v>95.48439999999999</v>
      </c>
      <c r="G28" s="34" t="n">
        <v>15.8415</v>
      </c>
      <c r="H28" s="34" t="n">
        <v>112.5333</v>
      </c>
      <c r="I28" s="34" t="n">
        <v>76.5514</v>
      </c>
      <c r="J28" s="34" t="n">
        <v>89.2902</v>
      </c>
      <c r="K28" s="34" t="n">
        <v>471.3995</v>
      </c>
      <c r="L28" s="34" t="n">
        <v>243.2859</v>
      </c>
      <c r="M28" s="34" t="n">
        <v>9.84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0.352, "常態NOPAT": 14907644944.0, "WACC": 0.0984, "淨現金": 38088875000.0}, "damodaran_fcff": {"銷售/資本": 1.167, "g1": 0.0333, "永續g": 0.03, "目標營業利益率": 0.352, "WACC": 0.0984, "終值WACC": 0.0995, "有效稅率": 0.1978, "終值佔比": 0.474},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3.315</v>
      </c>
      <c r="D29" s="34" t="n">
        <v>13.3262</v>
      </c>
      <c r="E29" s="34" t="n">
        <v>4.9398</v>
      </c>
      <c r="F29" s="34" t="n">
        <v>10.9177</v>
      </c>
      <c r="G29" s="34" t="n">
        <v>1.9684</v>
      </c>
      <c r="H29" s="34" t="n">
        <v>6.9041</v>
      </c>
      <c r="I29" s="34" t="n">
        <v>7.8032</v>
      </c>
      <c r="J29" s="34" t="n">
        <v>11.3025</v>
      </c>
      <c r="K29" s="34" t="n">
        <v>103.3706</v>
      </c>
      <c r="L29" s="34" t="n">
        <v>23.0315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49.78</v>
      </c>
      <c r="D30" s="34" t="n">
        <v>84.29000000000001</v>
      </c>
      <c r="E30" s="34" t="n">
        <v>83.7831</v>
      </c>
      <c r="F30" s="34" t="n">
        <v>41.8561</v>
      </c>
      <c r="G30" s="34" t="inlineStr"/>
      <c r="H30" s="34" t="n">
        <v>55.8744</v>
      </c>
      <c r="I30" s="34" t="n">
        <v>114.8477</v>
      </c>
      <c r="J30" s="34" t="n">
        <v>84.9286</v>
      </c>
      <c r="K30" s="34" t="n">
        <v>160.7898</v>
      </c>
      <c r="L30" s="34" t="n">
        <v>104.7714</v>
      </c>
      <c r="M30" s="34" t="n">
        <v>7.11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0.0711, "淨現金": -10879000000.0}, "damodaran_fcff": {"銷售/資本": 1.92, "g1": 0.0056, "永續g": 0.03, "目標營業利益率": 0.0881, "WACC": 0.0711, "終值WACC": 0.0995, "有效稅率": 0.2095, "終值佔比": 0.458}, "ri_pb": {"常態ROE": 0.155, "股權成本r": 0.0867, "留存成長g": 0.0561, "合理PB": 3.23}, "ddm": {"DPS": 3.4643, "g": 0.0462,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76.2</v>
      </c>
      <c r="D31" s="34" t="n">
        <v>14.0495</v>
      </c>
      <c r="E31" s="34" t="n">
        <v>43.4348</v>
      </c>
      <c r="F31" s="34" t="n">
        <v>58.4973</v>
      </c>
      <c r="G31" s="34" t="n">
        <v>2.1544</v>
      </c>
      <c r="H31" s="34" t="n">
        <v>127.6796</v>
      </c>
      <c r="I31" s="34" t="inlineStr"/>
      <c r="J31" s="34" t="inlineStr"/>
      <c r="K31" s="34" t="n">
        <v>4.8146</v>
      </c>
      <c r="L31" s="34" t="inlineStr"/>
      <c r="M31" s="34" t="n">
        <v>12.12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449.8</v>
      </c>
      <c r="D32" s="34" t="n">
        <v>385.531</v>
      </c>
      <c r="E32" s="34" t="n">
        <v>171.2095</v>
      </c>
      <c r="F32" s="34" t="n">
        <v>154.5478</v>
      </c>
      <c r="G32" s="34" t="n">
        <v>8.5959</v>
      </c>
      <c r="H32" s="34" t="n">
        <v>311.1285</v>
      </c>
      <c r="I32" s="34" t="n">
        <v>218.0107</v>
      </c>
      <c r="J32" s="34" t="n">
        <v>268.4608</v>
      </c>
      <c r="K32" s="34" t="n">
        <v>2215.4125</v>
      </c>
      <c r="L32" s="34" t="n">
        <v>1186.1835</v>
      </c>
      <c r="M32" s="34" t="n">
        <v>9.16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0.0916, "淨現金": 120569062000.0}, "damodaran_fcff": {"銷售/資本": 2.016, "g1": 0.0884, "永續g": 0.03, "目標營業利益率": 0.1491, "WACC": 0.0916,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53.5</v>
      </c>
      <c r="D33" s="34" t="n">
        <v>592.2408</v>
      </c>
      <c r="E33" s="34" t="n">
        <v>32.4438</v>
      </c>
      <c r="F33" s="34" t="n">
        <v>132.8895</v>
      </c>
      <c r="G33" s="34" t="inlineStr"/>
      <c r="H33" s="34" t="n">
        <v>35.923</v>
      </c>
      <c r="I33" s="34" t="inlineStr"/>
      <c r="J33" s="34" t="inlineStr"/>
      <c r="K33" s="34" t="n">
        <v>1277.7975</v>
      </c>
      <c r="L33" s="34" t="n">
        <v>9.730399999999999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4.41</v>
      </c>
      <c r="D34" s="34" t="n">
        <v>8.3545</v>
      </c>
      <c r="E34" s="34" t="n">
        <v>3.8974</v>
      </c>
      <c r="F34" s="34" t="n">
        <v>8.2841</v>
      </c>
      <c r="G34" s="34" t="n">
        <v>1.089</v>
      </c>
      <c r="H34" s="34" t="n">
        <v>14.8271</v>
      </c>
      <c r="I34" s="34" t="n">
        <v>4.4445</v>
      </c>
      <c r="J34" s="34" t="n">
        <v>7.1075</v>
      </c>
      <c r="K34" s="34" t="n">
        <v>3.6825</v>
      </c>
      <c r="L34" s="34" t="n">
        <v>6.7119</v>
      </c>
      <c r="M34" s="34" t="n">
        <v>9.699999999999999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0.097, "淨現金": 4788314000.0}, "damodaran_fcff": {"銷售/資本": 2.029, "g1": 0.15, "永續g": 0.03, "目標營業利益率": 0.1894, "WACC": 0.097,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17.37</v>
      </c>
      <c r="D35" s="34" t="n">
        <v>12.1643</v>
      </c>
      <c r="E35" s="34" t="n">
        <v>15.0112</v>
      </c>
      <c r="F35" s="34" t="n">
        <v>9.742599999999999</v>
      </c>
      <c r="G35" s="34" t="inlineStr"/>
      <c r="H35" s="34" t="n">
        <v>23.7817</v>
      </c>
      <c r="I35" s="34" t="n">
        <v>9.0535</v>
      </c>
      <c r="J35" s="34" t="n">
        <v>6.6255</v>
      </c>
      <c r="K35" s="34" t="n">
        <v>3.4906</v>
      </c>
      <c r="L35" s="34" t="n">
        <v>3.2531</v>
      </c>
      <c r="M35" s="34" t="n">
        <v>9.130000000000001</v>
      </c>
      <c r="N35" s="34" t="n">
        <v>9.949999999999999</v>
      </c>
      <c r="O35" s="32" t="n">
        <v>1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0.0913, "淨現金": -3912000000.0}, "damodaran_fcff": {"銷售/資本": 1.24, "g1": 0.15, "永續g": 0.03, "目標營業利益率": 0.0675, "WACC": 0.0913, "終值WACC": 0.0995, "有效稅率": 0.1589, "終值佔比": 1.23}, "ri_pb": {"常態ROE": 0.0691, "股權成本r": 0.0995, "留存成長g": 0.0562, "合理PB": 0.298}, "ddm": {"DPS": 0.1221, "g": 0.0532, "r": 0.0995}}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105.3</v>
      </c>
      <c r="D36" s="34" t="n">
        <v>137.0236</v>
      </c>
      <c r="E36" s="34" t="n">
        <v>135.8694</v>
      </c>
      <c r="F36" s="34" t="n">
        <v>60.1633</v>
      </c>
      <c r="G36" s="34" t="inlineStr"/>
      <c r="H36" s="34" t="n">
        <v>247.4232</v>
      </c>
      <c r="I36" s="34" t="n">
        <v>130.0369</v>
      </c>
      <c r="J36" s="34" t="n">
        <v>99.0749</v>
      </c>
      <c r="K36" s="34" t="n">
        <v>54.7971</v>
      </c>
      <c r="L36" s="34" t="n">
        <v>55.4628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308.6</v>
      </c>
      <c r="D37" s="34" t="n">
        <v>428.8824</v>
      </c>
      <c r="E37" s="34" t="n">
        <v>423.3101</v>
      </c>
      <c r="F37" s="34" t="n">
        <v>684.6546</v>
      </c>
      <c r="G37" s="34" t="n">
        <v>39.644</v>
      </c>
      <c r="H37" s="34" t="n">
        <v>576.5295</v>
      </c>
      <c r="I37" s="34" t="n">
        <v>318.712</v>
      </c>
      <c r="J37" s="34" t="n">
        <v>418.9408</v>
      </c>
      <c r="K37" s="34" t="n">
        <v>39.0719</v>
      </c>
      <c r="L37" s="34" t="n">
        <v>253.6833</v>
      </c>
      <c r="M37" s="34" t="n">
        <v>9.119999999999999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222.3572}, "graham_formula": {"g(上限10%)": 0.1, "Y公司債": 0.056}, "ncav": {"NCAV/股": 33.842, "NNWC/股": -8.3533, "net-net買點": 22.5726}, "buffett_oe": {"業主盈餘(TTM,中位3年)": 19034000000.0, "g1": 0.05, "永續g": 0.03, "門檻報酬r": 0.0905, "非營運投資(折70%)": 0.0}, "epv": {"常態營業利益率": 0.2756, "常態NOPAT": 12974435844.0, "WACC": 0.0912, "淨現金": 52551000000.0}, "damodaran_fcff": {"銷售/資本": 0.8, "g1": 0.15, "永續g": 0.03, "目標營業利益率": 0.2756, "WACC": 0.0912, "終值WACC": 0.0995, "有效稅率": 0.1948, "終值佔比": 0.64}, "ri_pb": {"常態ROE": 0.0403, "股權成本r": 0.0995, "留存成長g": 0.0379,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107.6</v>
      </c>
      <c r="D38" s="34" t="n">
        <v>68.5534</v>
      </c>
      <c r="E38" s="34" t="n">
        <v>96.6634</v>
      </c>
      <c r="F38" s="34" t="n">
        <v>44.5944</v>
      </c>
      <c r="G38" s="34" t="inlineStr"/>
      <c r="H38" s="34" t="n">
        <v>86.2204</v>
      </c>
      <c r="I38" s="34" t="n">
        <v>64.3249</v>
      </c>
      <c r="J38" s="34" t="n">
        <v>61.9058</v>
      </c>
      <c r="K38" s="34" t="n">
        <v>58.9151</v>
      </c>
      <c r="L38" s="34" t="n">
        <v>33.9097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0.0929, "淨現金": 183360000000.0}, "damodaran_fcff": {"銷售/資本": 1.197, "g1": 0.0562, "永續g": 0.03, "目標營業利益率": 0.1155, "WACC": 0.0929,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196</v>
      </c>
      <c r="D39" s="34" t="n">
        <v>302.6135</v>
      </c>
      <c r="E39" s="34" t="n">
        <v>122.2857</v>
      </c>
      <c r="F39" s="34" t="n">
        <v>243.4328</v>
      </c>
      <c r="G39" s="34" t="n">
        <v>48.0839</v>
      </c>
      <c r="H39" s="34" t="n">
        <v>381.9285</v>
      </c>
      <c r="I39" s="34" t="n">
        <v>154.6148</v>
      </c>
      <c r="J39" s="34" t="n">
        <v>186.2202</v>
      </c>
      <c r="K39" s="34" t="n">
        <v>1419.6948</v>
      </c>
      <c r="L39" s="34" t="n">
        <v>536.3313000000001</v>
      </c>
      <c r="M39" s="34" t="n">
        <v>9.800000000000001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0.098, "淨現金": 162788655000.0}, "damodaran_fcff": {"銷售/資本": 4.0, "g1": 0.0529, "永續g": 0.03, "目標營業利益率": 0.2678, "WACC": 0.098,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75.77</v>
      </c>
      <c r="D40" s="34" t="n">
        <v>126.4107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67.73990000000001</v>
      </c>
      <c r="J40" s="34" t="n">
        <v>108.1353</v>
      </c>
      <c r="K40" s="34" t="n">
        <v>403.9189</v>
      </c>
      <c r="L40" s="34" t="n">
        <v>183.7729</v>
      </c>
      <c r="M40" s="34" t="n">
        <v>8.58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0.0858, "淨現金": 23674144031.0}, "damodaran_fcff": {"銷售/資本": 2.893, "g1": 0.15, "永續g": 0.021, "目標營業利益率": 0.1587, "WACC": 0.0858,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166.57</v>
      </c>
      <c r="D41" s="34" t="n">
        <v>200.3004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116.6257</v>
      </c>
      <c r="J41" s="34" t="n">
        <v>134.5583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45.72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121.59</v>
      </c>
      <c r="D43" s="34" t="n">
        <v>50.5491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46.6066</v>
      </c>
      <c r="J43" s="34" t="n">
        <v>50.2363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1305.74</v>
      </c>
      <c r="D44" s="34" t="n">
        <v>1186.8341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838.7824000000001</v>
      </c>
      <c r="J44" s="34" t="n">
        <v>1283.628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29.39</v>
      </c>
      <c r="D45" s="34" t="n">
        <v>20.5401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15.4726</v>
      </c>
      <c r="J45" s="34" t="n">
        <v>12.7687</v>
      </c>
      <c r="K45" s="34" t="n">
        <v>22.7622</v>
      </c>
      <c r="L45" s="34" t="n">
        <v>25.8636</v>
      </c>
      <c r="M45" s="34" t="n">
        <v>5.67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0.0567, "淨現金": -273993253986.0}, "damodaran_fcff": {"銷售/資本": 0.8, "g1": 0.0779, "永續g": 0.021, "目標營業利益率": 0.4692, "WACC": 0.0567,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47.21</v>
      </c>
      <c r="D46" s="34" t="n">
        <v>35.8397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26.0225</v>
      </c>
      <c r="J46" s="34" t="n">
        <v>36.7152</v>
      </c>
      <c r="K46" s="34" t="n">
        <v>164.8877</v>
      </c>
      <c r="L46" s="34" t="n">
        <v>130.8639</v>
      </c>
      <c r="M46" s="34" t="n">
        <v>8.220000000000001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0.0822, "淨現金": -7517740000.0}, "damodaran_fcff": {"銷售/資本": 4.0, "g1": 0.15, "永續g": 0.021, "目標營業利益率": 0.0455, "WACC": 0.0822, "終值WACC": 0.089, "有效稅率": 0.144, "終值佔比": 0.68},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56.65</v>
      </c>
      <c r="D47" s="34" t="n">
        <v>100.9418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56.4561</v>
      </c>
      <c r="J47" s="34" t="n">
        <v>92.6142</v>
      </c>
      <c r="K47" s="34" t="n">
        <v>442.9868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16.9412},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70.84999999999999</v>
      </c>
      <c r="D48" s="34" t="n">
        <v>113.1702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61.2519</v>
      </c>
      <c r="J48" s="34" t="n">
        <v>108.9596</v>
      </c>
      <c r="K48" s="34" t="n">
        <v>698.9493</v>
      </c>
      <c r="L48" s="34" t="n">
        <v>323.4171</v>
      </c>
      <c r="M48" s="34" t="n">
        <v>8.699999999999999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0.087, "淨現金": 4017127052.0}, "damodaran_fcff": {"銷售/資本": 2.32, "g1": 0.15, "永續g": 0.021, "目標營業利益率": 0.2949, "WACC": 0.087,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303.88</v>
      </c>
      <c r="D49" s="34" t="n">
        <v>81.5895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81.38590000000001</v>
      </c>
      <c r="J49" s="34" t="n">
        <v>120.5073</v>
      </c>
      <c r="K49" s="34" t="n">
        <v>38.0978</v>
      </c>
      <c r="L49" s="34" t="n">
        <v>75.5438</v>
      </c>
      <c r="M49" s="34" t="n">
        <v>8.869999999999999</v>
      </c>
      <c r="N49" s="34" t="n">
        <v>8.9</v>
      </c>
      <c r="O49" s="32" t="n">
        <v>1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0.0887, "淨現金": 8863734876.0}, "damodaran_fcff": {"銷售/資本": 0.8, "g1": 0.15, "永續g": 0.021, "目標營業利益率": 0.2664, "WACC": 0.0887, "終值WACC": 0.089, "有效稅率": 0.08, "終值佔比": 0.64}, "ri_pb": {"常態ROE": 0.0864, "股權成本r": 0.089, "留存成長g": 0.0776, "合理PB": 0.77}, "ddm": {"DPS": 0.7001, "g": 0.079, "r": 0.089}}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236.94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413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5.2282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345.79</v>
      </c>
      <c r="D52" s="34" t="n">
        <v>49.1601</v>
      </c>
      <c r="E52" s="34" t="n">
        <v>9.446</v>
      </c>
      <c r="F52" s="34" t="n">
        <v>34.7808</v>
      </c>
      <c r="G52" s="34" t="inlineStr"/>
      <c r="H52" s="34" t="inlineStr"/>
      <c r="I52" s="34" t="n">
        <v>8.898300000000001</v>
      </c>
      <c r="J52" s="34" t="n">
        <v>12.4163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521.963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7.35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4" t="n">
        <v>26.9668</v>
      </c>
      <c r="E55" s="34" t="n">
        <v>7.0983</v>
      </c>
      <c r="F55" s="34" t="n">
        <v>8.8208</v>
      </c>
      <c r="G55" s="34" t="inlineStr"/>
      <c r="H55" s="34" t="inlineStr"/>
      <c r="I55" s="34" t="n">
        <v>0.7772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0.0879, "淨現金": -1788624000.0}, "damodaran_fcff": {"銷售/資本": 0.8, "g1": 0.15, "永續g": 0.04, "目標營業利益率": 0.3149, "WACC": 0.0879,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4" t="n">
        <v>21.4772</v>
      </c>
      <c r="E56" s="34" t="n">
        <v>3.6112</v>
      </c>
      <c r="F56" s="34" t="n">
        <v>4.7985</v>
      </c>
      <c r="G56" s="34" t="inlineStr"/>
      <c r="H56" s="34" t="inlineStr"/>
      <c r="I56" s="34" t="n">
        <v>5.04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355.5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2.0171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4" t="n">
        <v>480.8226</v>
      </c>
      <c r="E58" s="34" t="n">
        <v>9.3416</v>
      </c>
      <c r="F58" s="34" t="n">
        <v>1.4037</v>
      </c>
      <c r="G58" s="34" t="inlineStr"/>
      <c r="H58" s="34" t="inlineStr"/>
      <c r="I58" s="34" t="n">
        <v>15.5059</v>
      </c>
      <c r="J58" s="34" t="n">
        <v>17.7724</v>
      </c>
      <c r="K58" s="34" t="n">
        <v>6466.5299</v>
      </c>
      <c r="L58" s="34" t="inlineStr"/>
      <c r="M58" s="34" t="n">
        <v>8.5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0.085, "淨現金": -16922000000.0}, "damodaran_fcff": {"銷售/資本": 0.8, "g1": -0.0032, "永續g": 0.04, "目標營業利益率": 0.1926, "WACC": 0.085,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0.0877, "淨現金": -23472000000.0}, "damodaran_fcff": {"銷售/資本": 0.8, "g1": 0.053, "永續g": 0.04, "目標營業利益率": 0.2049, "WACC": 0.0877,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4" t="n">
        <v>544.725</v>
      </c>
      <c r="E60" s="34" t="n">
        <v>83.318</v>
      </c>
      <c r="F60" s="34" t="n">
        <v>202.834</v>
      </c>
      <c r="G60" s="34" t="inlineStr"/>
      <c r="H60" s="34" t="inlineStr"/>
      <c r="I60" s="34" t="n">
        <v>15.4897</v>
      </c>
      <c r="J60" s="34" t="n">
        <v>58.8462</v>
      </c>
      <c r="K60" s="34" t="n">
        <v>6600.4801</v>
      </c>
      <c r="L60" s="34" t="inlineStr"/>
      <c r="M60" s="34" t="n">
        <v>8.56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0.0856, "淨現金": -45958000000.0}, "damodaran_fcff": {"銷售/資本": 0.8, "g1": 0.15, "永續g": 0.04, "目標營業利益率": 0.2553, "WACC": 0.0856,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546.715</v>
      </c>
      <c r="D61" s="34" t="n">
        <v>81.6728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3.4472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4" t="n">
        <v>19409.9873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19409.9873</v>
      </c>
      <c r="L62" s="34" t="inlineStr"/>
      <c r="M62" s="34" t="n">
        <v>9.550000000000001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-11.1257,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4" t="n">
        <v>45.7473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6.8361</v>
      </c>
      <c r="J63" s="34" t="n">
        <v>15.1802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0.5162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0.1444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4" t="n">
        <v>6308.2253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564.4848</v>
      </c>
      <c r="J67" s="34" t="n">
        <v>908.5782</v>
      </c>
      <c r="K67" s="34" t="n">
        <v>71261.0684</v>
      </c>
      <c r="L67" s="34" t="inlineStr"/>
      <c r="M67" s="34" t="n">
        <v>8.77</v>
      </c>
      <c r="N67" s="34" t="n">
        <v>8.800000000000001</v>
      </c>
      <c r="O67" s="32" t="n">
        <v>1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0.0877, "淨現金": 3468786165000.0}, "damodaran_fcff": {"銷售/資本": 0.8, "g1": 0.15, "永續g": 0.04, "目標營業利益率": 0.4902, "WACC": 0.0877, "終值WACC": 0.088, "有效稅率": 0.24, "終值佔比": 0.642}, "ri_pb": {"常態ROE": 1.0, "股權成本r": 0.088, "留存成長g": 0.083, "合理PB": 183.4}}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4" t="n">
        <v>369.4244</v>
      </c>
      <c r="E68" s="34" t="n">
        <v>64.4277</v>
      </c>
      <c r="F68" s="34" t="n">
        <v>314.2098</v>
      </c>
      <c r="G68" s="34" t="inlineStr"/>
      <c r="H68" s="34" t="inlineStr"/>
      <c r="I68" s="34" t="n">
        <v>4.9379</v>
      </c>
      <c r="J68" s="34" t="inlineStr"/>
      <c r="K68" s="34" t="n">
        <v>2547.7929</v>
      </c>
      <c r="L68" s="34" t="inlineStr"/>
      <c r="M68" s="34" t="n">
        <v>8.67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4" t="n">
        <v>54.2594</v>
      </c>
      <c r="E69" s="34" t="n">
        <v>12.8744</v>
      </c>
      <c r="F69" s="34" t="n">
        <v>61.9902</v>
      </c>
      <c r="G69" s="34" t="inlineStr"/>
      <c r="H69" s="34" t="inlineStr"/>
      <c r="I69" s="34" t="n">
        <v>4.9086</v>
      </c>
      <c r="J69" s="34" t="n">
        <v>9.348000000000001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4" t="n">
        <v>8.831300000000001</v>
      </c>
      <c r="E70" s="34" t="n">
        <v>2.7648</v>
      </c>
      <c r="F70" s="34" t="n">
        <v>9.5785</v>
      </c>
      <c r="G70" s="34" t="inlineStr"/>
      <c r="H70" s="34" t="inlineStr"/>
      <c r="I70" s="34" t="n">
        <v>0.1988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0.65,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147.6</v>
      </c>
      <c r="D2" s="22" t="inlineStr">
        <is>
          <t>HKD</t>
        </is>
      </c>
      <c r="E2" s="24" t="n">
        <v>46.3149</v>
      </c>
      <c r="F2" s="24" t="n">
        <v>69.47239999999999</v>
      </c>
      <c r="G2" s="24" t="n">
        <v>106.5243</v>
      </c>
      <c r="H2" s="24" t="n">
        <v>138.9448</v>
      </c>
      <c r="I2" s="24" t="n">
        <v>138.9448</v>
      </c>
      <c r="J2" s="26" t="inlineStr">
        <is>
          <t>非常昂貴</t>
        </is>
      </c>
      <c r="K2" s="24" t="n">
        <v>1.5934</v>
      </c>
      <c r="L2" s="24" t="n">
        <v>69.47239999999999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5.08</v>
      </c>
      <c r="D3" s="27" t="inlineStr">
        <is>
          <t>HKD</t>
        </is>
      </c>
      <c r="E3" s="29" t="n">
        <v>2.0085</v>
      </c>
      <c r="F3" s="29" t="n">
        <v>3.0127</v>
      </c>
      <c r="G3" s="29" t="n">
        <v>4.6194</v>
      </c>
      <c r="H3" s="29" t="n">
        <v>6.0254</v>
      </c>
      <c r="I3" s="29" t="n">
        <v>6.0254</v>
      </c>
      <c r="J3" s="31" t="inlineStr">
        <is>
          <t>無法估值</t>
        </is>
      </c>
      <c r="K3" s="29" t="n">
        <v>1.2647</v>
      </c>
      <c r="L3" s="29" t="n">
        <v>3.0127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1.145</v>
      </c>
      <c r="D4" s="22" t="inlineStr">
        <is>
          <t>HKD</t>
        </is>
      </c>
      <c r="E4" s="24" t="n">
        <v>0.0484</v>
      </c>
      <c r="F4" s="24" t="n">
        <v>0.0727</v>
      </c>
      <c r="G4" s="24" t="n">
        <v>0.1114</v>
      </c>
      <c r="H4" s="24" t="n">
        <v>0.1453</v>
      </c>
      <c r="I4" s="24" t="n">
        <v>0.1453</v>
      </c>
      <c r="J4" s="26" t="inlineStr">
        <is>
          <t>非常昂貴</t>
        </is>
      </c>
      <c r="K4" s="24" t="n">
        <v>11.82</v>
      </c>
      <c r="L4" s="24" t="n">
        <v>0.0727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84.52</v>
      </c>
      <c r="D5" s="12" t="inlineStr">
        <is>
          <t>CNY</t>
        </is>
      </c>
      <c r="E5" s="14" t="n">
        <v>53.597</v>
      </c>
      <c r="F5" s="14" t="n">
        <v>80.3956</v>
      </c>
      <c r="G5" s="14" t="n">
        <v>123.2732</v>
      </c>
      <c r="H5" s="14" t="n">
        <v>160.7911</v>
      </c>
      <c r="I5" s="14" t="n">
        <v>160.7911</v>
      </c>
      <c r="J5" s="16" t="inlineStr">
        <is>
          <t>合理</t>
        </is>
      </c>
      <c r="K5" s="14" t="n">
        <v>0.7885</v>
      </c>
      <c r="L5" s="14" t="n">
        <v>80.3956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39.53</v>
      </c>
      <c r="D6" s="2" t="inlineStr">
        <is>
          <t>CNY</t>
        </is>
      </c>
      <c r="E6" s="4" t="n">
        <v>71.23690000000001</v>
      </c>
      <c r="F6" s="4" t="n">
        <v>106.8554</v>
      </c>
      <c r="G6" s="4" t="n">
        <v>163.8449</v>
      </c>
      <c r="H6" s="4" t="n">
        <v>213.7107</v>
      </c>
      <c r="I6" s="4" t="n">
        <v>213.7107</v>
      </c>
      <c r="J6" s="6" t="inlineStr">
        <is>
          <t>非常便宜</t>
        </is>
      </c>
      <c r="K6" s="4" t="n">
        <v>0.2775</v>
      </c>
      <c r="L6" s="4" t="n">
        <v>106.8554</v>
      </c>
    </row>
    <row r="7">
      <c r="A7" s="12" t="inlineStr">
        <is>
          <t>002335</t>
        </is>
      </c>
      <c r="B7" s="13" t="inlineStr">
        <is>
          <t>科华数据</t>
        </is>
      </c>
      <c r="C7" s="14" t="n">
        <v>26.28</v>
      </c>
      <c r="D7" s="12" t="inlineStr">
        <is>
          <t>CNY</t>
        </is>
      </c>
      <c r="E7" s="14" t="n">
        <v>11.5385</v>
      </c>
      <c r="F7" s="14" t="n">
        <v>17.3077</v>
      </c>
      <c r="G7" s="14" t="n">
        <v>26.5385</v>
      </c>
      <c r="H7" s="14" t="n">
        <v>34.6154</v>
      </c>
      <c r="I7" s="14" t="n">
        <v>34.6154</v>
      </c>
      <c r="J7" s="16" t="inlineStr">
        <is>
          <t>合理</t>
        </is>
      </c>
      <c r="K7" s="14" t="n">
        <v>1.1388</v>
      </c>
      <c r="L7" s="14" t="n">
        <v>17.3077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inlineStr">
        <is>
          <t>HKD</t>
        </is>
      </c>
      <c r="E8" s="4" t="n">
        <v>1.9141</v>
      </c>
      <c r="F8" s="4" t="n">
        <v>2.8712</v>
      </c>
      <c r="G8" s="4" t="n">
        <v>4.4025</v>
      </c>
      <c r="H8" s="4" t="n">
        <v>5.7424</v>
      </c>
      <c r="I8" s="4" t="n">
        <v>5.7424</v>
      </c>
      <c r="J8" s="6" t="inlineStr">
        <is>
          <t>非常便宜</t>
        </is>
      </c>
      <c r="K8" s="4" t="n">
        <v>0.32</v>
      </c>
      <c r="L8" s="4" t="n">
        <v>2.8712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32.12</v>
      </c>
      <c r="D9" s="12" t="inlineStr">
        <is>
          <t>HKD</t>
        </is>
      </c>
      <c r="E9" s="14" t="n">
        <v>20.75</v>
      </c>
      <c r="F9" s="14" t="n">
        <v>31.125</v>
      </c>
      <c r="G9" s="14" t="n">
        <v>47.725</v>
      </c>
      <c r="H9" s="14" t="n">
        <v>62.25</v>
      </c>
      <c r="I9" s="14" t="n">
        <v>62.25</v>
      </c>
      <c r="J9" s="16" t="inlineStr">
        <is>
          <t>合理</t>
        </is>
      </c>
      <c r="K9" s="14" t="n">
        <v>0.774</v>
      </c>
      <c r="L9" s="14" t="n">
        <v>31.125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4.51</v>
      </c>
      <c r="D10" s="2" t="inlineStr">
        <is>
          <t>HKD</t>
        </is>
      </c>
      <c r="E10" s="4" t="n">
        <v>4.6121</v>
      </c>
      <c r="F10" s="4" t="n">
        <v>6.9182</v>
      </c>
      <c r="G10" s="4" t="n">
        <v>10.6079</v>
      </c>
      <c r="H10" s="4" t="n">
        <v>13.8363</v>
      </c>
      <c r="I10" s="4" t="n">
        <v>13.8363</v>
      </c>
      <c r="J10" s="6" t="inlineStr">
        <is>
          <t>非常便宜</t>
        </is>
      </c>
      <c r="K10" s="4" t="n">
        <v>0.4889</v>
      </c>
      <c r="L10" s="4" t="n">
        <v>6.9182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371.8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2.3724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417.8</v>
      </c>
      <c r="D12" s="7" t="inlineStr">
        <is>
          <t>HKD</t>
        </is>
      </c>
      <c r="E12" s="9" t="n">
        <v>332.4608</v>
      </c>
      <c r="F12" s="9" t="n">
        <v>498.6912</v>
      </c>
      <c r="G12" s="9" t="n">
        <v>764.6599</v>
      </c>
      <c r="H12" s="9" t="n">
        <v>997.3824</v>
      </c>
      <c r="I12" s="9" t="n">
        <v>997.3824</v>
      </c>
      <c r="J12" s="11" t="inlineStr">
        <is>
          <t>便宜</t>
        </is>
      </c>
      <c r="K12" s="9" t="n">
        <v>0.6283</v>
      </c>
      <c r="L12" s="9" t="n">
        <v>498.6912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5.635</v>
      </c>
      <c r="D13" s="2" t="inlineStr">
        <is>
          <t>HKD</t>
        </is>
      </c>
      <c r="E13" s="4" t="n">
        <v>5.7616</v>
      </c>
      <c r="F13" s="4" t="n">
        <v>8.6424</v>
      </c>
      <c r="G13" s="4" t="n">
        <v>13.2517</v>
      </c>
      <c r="H13" s="4" t="n">
        <v>17.2849</v>
      </c>
      <c r="I13" s="4" t="n">
        <v>17.2849</v>
      </c>
      <c r="J13" s="6" t="inlineStr">
        <is>
          <t>非常便宜</t>
        </is>
      </c>
      <c r="K13" s="4" t="n">
        <v>0.489</v>
      </c>
      <c r="L13" s="4" t="n">
        <v>8.6424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9.135</v>
      </c>
      <c r="D14" s="12" t="inlineStr">
        <is>
          <t>HKD</t>
        </is>
      </c>
      <c r="E14" s="14" t="n">
        <v>5.6172</v>
      </c>
      <c r="F14" s="14" t="n">
        <v>8.4259</v>
      </c>
      <c r="G14" s="14" t="n">
        <v>12.9197</v>
      </c>
      <c r="H14" s="14" t="n">
        <v>16.8517</v>
      </c>
      <c r="I14" s="14" t="n">
        <v>16.8517</v>
      </c>
      <c r="J14" s="16" t="inlineStr">
        <is>
          <t>合理</t>
        </is>
      </c>
      <c r="K14" s="14" t="n">
        <v>0.8131</v>
      </c>
      <c r="L14" s="14" t="n">
        <v>8.4259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19.85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0.3717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10.3</v>
      </c>
      <c r="D16" s="2" t="inlineStr">
        <is>
          <t>HKD</t>
        </is>
      </c>
      <c r="E16" s="4" t="n">
        <v>11.3325</v>
      </c>
      <c r="F16" s="4" t="n">
        <v>16.9988</v>
      </c>
      <c r="G16" s="4" t="n">
        <v>26.0648</v>
      </c>
      <c r="H16" s="4" t="n">
        <v>33.9976</v>
      </c>
      <c r="I16" s="4" t="n">
        <v>33.9976</v>
      </c>
      <c r="J16" s="6" t="inlineStr">
        <is>
          <t>非常便宜</t>
        </is>
      </c>
      <c r="K16" s="4" t="n">
        <v>0.4544</v>
      </c>
      <c r="L16" s="4" t="n">
        <v>16.9988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24.2</v>
      </c>
      <c r="D17" s="2" t="inlineStr">
        <is>
          <t>HKD</t>
        </is>
      </c>
      <c r="E17" s="4" t="n">
        <v>36.0966</v>
      </c>
      <c r="F17" s="4" t="n">
        <v>54.1448</v>
      </c>
      <c r="G17" s="4" t="n">
        <v>83.02209999999999</v>
      </c>
      <c r="H17" s="4" t="n">
        <v>108.2897</v>
      </c>
      <c r="I17" s="4" t="n">
        <v>108.2897</v>
      </c>
      <c r="J17" s="6" t="inlineStr">
        <is>
          <t>非常便宜</t>
        </is>
      </c>
      <c r="K17" s="4" t="n">
        <v>0.3352</v>
      </c>
      <c r="L17" s="4" t="n">
        <v>54.1448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9.835000000000001</v>
      </c>
      <c r="D18" s="2" t="inlineStr">
        <is>
          <t>HKD</t>
        </is>
      </c>
      <c r="E18" s="4" t="n">
        <v>65.80410000000001</v>
      </c>
      <c r="F18" s="4" t="n">
        <v>98.7062</v>
      </c>
      <c r="G18" s="4" t="n">
        <v>151.3495</v>
      </c>
      <c r="H18" s="4" t="n">
        <v>197.4124</v>
      </c>
      <c r="I18" s="4" t="n">
        <v>197.4124</v>
      </c>
      <c r="J18" s="6" t="inlineStr">
        <is>
          <t>非常便宜</t>
        </is>
      </c>
      <c r="K18" s="4" t="n">
        <v>0.0747</v>
      </c>
      <c r="L18" s="4" t="n">
        <v>98.7062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80.75</v>
      </c>
      <c r="D19" s="12" t="inlineStr">
        <is>
          <t>HKD</t>
        </is>
      </c>
      <c r="E19" s="14" t="n">
        <v>45.0735</v>
      </c>
      <c r="F19" s="14" t="n">
        <v>67.61020000000001</v>
      </c>
      <c r="G19" s="14" t="n">
        <v>103.669</v>
      </c>
      <c r="H19" s="14" t="n">
        <v>135.2204</v>
      </c>
      <c r="I19" s="14" t="n">
        <v>135.2204</v>
      </c>
      <c r="J19" s="16" t="inlineStr">
        <is>
          <t>合理</t>
        </is>
      </c>
      <c r="K19" s="14" t="n">
        <v>0.8958</v>
      </c>
      <c r="L19" s="14" t="n">
        <v>67.61020000000001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4.795</v>
      </c>
      <c r="D20" s="27" t="inlineStr">
        <is>
          <t>HKD</t>
        </is>
      </c>
      <c r="E20" s="29" t="n">
        <v>79.5171</v>
      </c>
      <c r="F20" s="29" t="n">
        <v>119.2757</v>
      </c>
      <c r="G20" s="29" t="n">
        <v>182.8894</v>
      </c>
      <c r="H20" s="29" t="n">
        <v>238.5514</v>
      </c>
      <c r="I20" s="29" t="n">
        <v>238.5514</v>
      </c>
      <c r="J20" s="31" t="inlineStr">
        <is>
          <t>無法估值</t>
        </is>
      </c>
      <c r="K20" s="29" t="n">
        <v>0.0302</v>
      </c>
      <c r="L20" s="29" t="n">
        <v>103.3723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53.95</v>
      </c>
      <c r="D21" s="22" t="inlineStr">
        <is>
          <t>HKD</t>
        </is>
      </c>
      <c r="E21" s="24" t="n">
        <v>3.4546</v>
      </c>
      <c r="F21" s="24" t="n">
        <v>5.182</v>
      </c>
      <c r="G21" s="24" t="n">
        <v>7.9457</v>
      </c>
      <c r="H21" s="24" t="n">
        <v>10.3639</v>
      </c>
      <c r="I21" s="24" t="n">
        <v>10.3639</v>
      </c>
      <c r="J21" s="26" t="inlineStr">
        <is>
          <t>非常昂貴</t>
        </is>
      </c>
      <c r="K21" s="24" t="n">
        <v>7.8083</v>
      </c>
      <c r="L21" s="24" t="n">
        <v>5.182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26.8</v>
      </c>
      <c r="D22" s="12" t="inlineStr">
        <is>
          <t>HKD</t>
        </is>
      </c>
      <c r="E22" s="14" t="n">
        <v>15.362</v>
      </c>
      <c r="F22" s="14" t="n">
        <v>23.0431</v>
      </c>
      <c r="G22" s="14" t="n">
        <v>35.3327</v>
      </c>
      <c r="H22" s="14" t="n">
        <v>46.0861</v>
      </c>
      <c r="I22" s="14" t="n">
        <v>46.0861</v>
      </c>
      <c r="J22" s="16" t="inlineStr">
        <is>
          <t>合理</t>
        </is>
      </c>
      <c r="K22" s="14" t="n">
        <v>0.8723</v>
      </c>
      <c r="L22" s="14" t="n">
        <v>23.0431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7.535</v>
      </c>
      <c r="D23" s="2" t="inlineStr">
        <is>
          <t>HKD</t>
        </is>
      </c>
      <c r="E23" s="4" t="n">
        <v>49.5535</v>
      </c>
      <c r="F23" s="4" t="n">
        <v>74.3302</v>
      </c>
      <c r="G23" s="4" t="n">
        <v>113.973</v>
      </c>
      <c r="H23" s="4" t="n">
        <v>148.6604</v>
      </c>
      <c r="I23" s="4" t="n">
        <v>148.6604</v>
      </c>
      <c r="J23" s="6" t="inlineStr">
        <is>
          <t>非常便宜</t>
        </is>
      </c>
      <c r="K23" s="4" t="n">
        <v>0.076</v>
      </c>
      <c r="L23" s="4" t="n">
        <v>74.3302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26.86</v>
      </c>
      <c r="D24" s="12" t="inlineStr">
        <is>
          <t>HKD</t>
        </is>
      </c>
      <c r="E24" s="14" t="n">
        <v>14.4538</v>
      </c>
      <c r="F24" s="14" t="n">
        <v>21.6807</v>
      </c>
      <c r="G24" s="14" t="n">
        <v>33.2438</v>
      </c>
      <c r="H24" s="14" t="n">
        <v>43.3614</v>
      </c>
      <c r="I24" s="14" t="n">
        <v>43.3614</v>
      </c>
      <c r="J24" s="16" t="inlineStr">
        <is>
          <t>合理</t>
        </is>
      </c>
      <c r="K24" s="14" t="n">
        <v>0.9292</v>
      </c>
      <c r="L24" s="14" t="n">
        <v>21.6807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3.25</v>
      </c>
      <c r="D25" s="17" t="inlineStr">
        <is>
          <t>HKD</t>
        </is>
      </c>
      <c r="E25" s="19" t="n">
        <v>1.165</v>
      </c>
      <c r="F25" s="19" t="n">
        <v>1.7475</v>
      </c>
      <c r="G25" s="19" t="n">
        <v>2.6795</v>
      </c>
      <c r="H25" s="19" t="n">
        <v>3.4951</v>
      </c>
      <c r="I25" s="19" t="n">
        <v>3.4951</v>
      </c>
      <c r="J25" s="21" t="inlineStr">
        <is>
          <t>昂貴</t>
        </is>
      </c>
      <c r="K25" s="19" t="n">
        <v>1.3948</v>
      </c>
      <c r="L25" s="19" t="n">
        <v>1.7475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0.168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50.25</v>
      </c>
      <c r="D27" s="2" t="inlineStr">
        <is>
          <t>HKD</t>
        </is>
      </c>
      <c r="E27" s="4" t="n">
        <v>352.0482</v>
      </c>
      <c r="F27" s="4" t="n">
        <v>528.0723</v>
      </c>
      <c r="G27" s="4" t="n">
        <v>809.7107999999999</v>
      </c>
      <c r="H27" s="4" t="n">
        <v>1056.1446</v>
      </c>
      <c r="I27" s="4" t="n">
        <v>1056.1446</v>
      </c>
      <c r="J27" s="6" t="inlineStr">
        <is>
          <t>非常便宜</t>
        </is>
      </c>
      <c r="K27" s="4" t="n">
        <v>0.07140000000000001</v>
      </c>
      <c r="L27" s="4" t="n">
        <v>528.0723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203.4</v>
      </c>
      <c r="D28" s="22" t="inlineStr">
        <is>
          <t>HKD</t>
        </is>
      </c>
      <c r="E28" s="24" t="n">
        <v>54.1311</v>
      </c>
      <c r="F28" s="24" t="n">
        <v>81.19670000000001</v>
      </c>
      <c r="G28" s="24" t="n">
        <v>124.5016</v>
      </c>
      <c r="H28" s="24" t="n">
        <v>162.3934</v>
      </c>
      <c r="I28" s="24" t="n">
        <v>162.3934</v>
      </c>
      <c r="J28" s="26" t="inlineStr">
        <is>
          <t>非常昂貴</t>
        </is>
      </c>
      <c r="K28" s="24" t="n">
        <v>1.8788</v>
      </c>
      <c r="L28" s="24" t="n">
        <v>81.19670000000001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3.315</v>
      </c>
      <c r="D29" s="2" t="inlineStr">
        <is>
          <t>HKD</t>
        </is>
      </c>
      <c r="E29" s="4" t="n">
        <v>6.6631</v>
      </c>
      <c r="F29" s="4" t="n">
        <v>9.9946</v>
      </c>
      <c r="G29" s="4" t="n">
        <v>15.3251</v>
      </c>
      <c r="H29" s="4" t="n">
        <v>19.9892</v>
      </c>
      <c r="I29" s="4" t="n">
        <v>19.9892</v>
      </c>
      <c r="J29" s="6" t="inlineStr">
        <is>
          <t>非常便宜</t>
        </is>
      </c>
      <c r="K29" s="4" t="n">
        <v>0.2488</v>
      </c>
      <c r="L29" s="4" t="n">
        <v>9.9946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49.78</v>
      </c>
      <c r="D30" s="7" t="inlineStr">
        <is>
          <t>HKD</t>
        </is>
      </c>
      <c r="E30" s="9" t="n">
        <v>42.145</v>
      </c>
      <c r="F30" s="9" t="n">
        <v>63.2175</v>
      </c>
      <c r="G30" s="9" t="n">
        <v>96.9335</v>
      </c>
      <c r="H30" s="9" t="n">
        <v>126.4351</v>
      </c>
      <c r="I30" s="9" t="n">
        <v>126.4351</v>
      </c>
      <c r="J30" s="11" t="inlineStr">
        <is>
          <t>便宜</t>
        </is>
      </c>
      <c r="K30" s="9" t="n">
        <v>0.5906</v>
      </c>
      <c r="L30" s="9" t="n">
        <v>63.2175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76.2</v>
      </c>
      <c r="D31" s="22" t="inlineStr">
        <is>
          <t>HKD</t>
        </is>
      </c>
      <c r="E31" s="24" t="n">
        <v>7.0247</v>
      </c>
      <c r="F31" s="24" t="n">
        <v>10.5371</v>
      </c>
      <c r="G31" s="24" t="n">
        <v>16.1569</v>
      </c>
      <c r="H31" s="24" t="n">
        <v>21.0742</v>
      </c>
      <c r="I31" s="24" t="n">
        <v>21.0742</v>
      </c>
      <c r="J31" s="26" t="inlineStr">
        <is>
          <t>非常昂貴</t>
        </is>
      </c>
      <c r="K31" s="24" t="n">
        <v>5.4237</v>
      </c>
      <c r="L31" s="24" t="n">
        <v>10.5371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449.8</v>
      </c>
      <c r="D32" s="17" t="inlineStr">
        <is>
          <t>HKD</t>
        </is>
      </c>
      <c r="E32" s="19" t="n">
        <v>192.7655</v>
      </c>
      <c r="F32" s="19" t="n">
        <v>289.1483</v>
      </c>
      <c r="G32" s="19" t="n">
        <v>443.3607</v>
      </c>
      <c r="H32" s="19" t="n">
        <v>578.2965</v>
      </c>
      <c r="I32" s="19" t="n">
        <v>578.2965</v>
      </c>
      <c r="J32" s="21" t="inlineStr">
        <is>
          <t>昂貴</t>
        </is>
      </c>
      <c r="K32" s="19" t="n">
        <v>1.1667</v>
      </c>
      <c r="L32" s="19" t="n">
        <v>289.1483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53.5</v>
      </c>
      <c r="D33" s="2" t="inlineStr">
        <is>
          <t>HKD</t>
        </is>
      </c>
      <c r="E33" s="4" t="n">
        <v>296.1204</v>
      </c>
      <c r="F33" s="4" t="n">
        <v>444.1806</v>
      </c>
      <c r="G33" s="4" t="n">
        <v>681.077</v>
      </c>
      <c r="H33" s="4" t="n">
        <v>888.3612000000001</v>
      </c>
      <c r="I33" s="4" t="n">
        <v>888.3612000000001</v>
      </c>
      <c r="J33" s="6" t="inlineStr">
        <is>
          <t>非常便宜</t>
        </is>
      </c>
      <c r="K33" s="4" t="n">
        <v>0.09030000000000001</v>
      </c>
      <c r="L33" s="4" t="n">
        <v>444.1806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4.41</v>
      </c>
      <c r="D34" s="7" t="inlineStr">
        <is>
          <t>HKD</t>
        </is>
      </c>
      <c r="E34" s="9" t="n">
        <v>4.1773</v>
      </c>
      <c r="F34" s="9" t="n">
        <v>6.2659</v>
      </c>
      <c r="G34" s="9" t="n">
        <v>9.607699999999999</v>
      </c>
      <c r="H34" s="9" t="n">
        <v>12.5318</v>
      </c>
      <c r="I34" s="9" t="n">
        <v>12.5318</v>
      </c>
      <c r="J34" s="11" t="inlineStr">
        <is>
          <t>便宜</t>
        </is>
      </c>
      <c r="K34" s="9" t="n">
        <v>0.5279</v>
      </c>
      <c r="L34" s="9" t="n">
        <v>6.2659</v>
      </c>
    </row>
    <row r="35">
      <c r="A35" s="17" t="inlineStr">
        <is>
          <t>06613</t>
        </is>
      </c>
      <c r="B35" s="18" t="inlineStr">
        <is>
          <t>蓝思科技</t>
        </is>
      </c>
      <c r="C35" s="19" t="n">
        <v>17.37</v>
      </c>
      <c r="D35" s="17" t="inlineStr">
        <is>
          <t>HKD</t>
        </is>
      </c>
      <c r="E35" s="19" t="n">
        <v>6.0821</v>
      </c>
      <c r="F35" s="19" t="n">
        <v>9.123200000000001</v>
      </c>
      <c r="G35" s="19" t="n">
        <v>13.9889</v>
      </c>
      <c r="H35" s="19" t="n">
        <v>18.2464</v>
      </c>
      <c r="I35" s="19" t="n">
        <v>18.2464</v>
      </c>
      <c r="J35" s="21" t="inlineStr">
        <is>
          <t>昂貴</t>
        </is>
      </c>
      <c r="K35" s="19" t="n">
        <v>1.428</v>
      </c>
      <c r="L35" s="19" t="n">
        <v>9.123200000000001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105.3</v>
      </c>
      <c r="D36" s="12" t="inlineStr">
        <is>
          <t>HKD</t>
        </is>
      </c>
      <c r="E36" s="14" t="n">
        <v>68.51179999999999</v>
      </c>
      <c r="F36" s="14" t="n">
        <v>102.7677</v>
      </c>
      <c r="G36" s="14" t="n">
        <v>157.5772</v>
      </c>
      <c r="H36" s="14" t="n">
        <v>205.5355</v>
      </c>
      <c r="I36" s="14" t="n">
        <v>205.5355</v>
      </c>
      <c r="J36" s="16" t="inlineStr">
        <is>
          <t>合理</t>
        </is>
      </c>
      <c r="K36" s="14" t="n">
        <v>0.7685</v>
      </c>
      <c r="L36" s="14" t="n">
        <v>102.7677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308.6</v>
      </c>
      <c r="D37" s="7" t="inlineStr">
        <is>
          <t>HKD</t>
        </is>
      </c>
      <c r="E37" s="9" t="n">
        <v>214.4412</v>
      </c>
      <c r="F37" s="9" t="n">
        <v>321.6618</v>
      </c>
      <c r="G37" s="9" t="n">
        <v>493.2147</v>
      </c>
      <c r="H37" s="9" t="n">
        <v>643.3236000000001</v>
      </c>
      <c r="I37" s="9" t="n">
        <v>643.3236000000001</v>
      </c>
      <c r="J37" s="11" t="inlineStr">
        <is>
          <t>便宜</t>
        </is>
      </c>
      <c r="K37" s="9" t="n">
        <v>0.7195</v>
      </c>
      <c r="L37" s="9" t="n">
        <v>321.6618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107.6</v>
      </c>
      <c r="D38" s="22" t="inlineStr">
        <is>
          <t>HKD</t>
        </is>
      </c>
      <c r="E38" s="24" t="n">
        <v>34.2767</v>
      </c>
      <c r="F38" s="24" t="n">
        <v>51.415</v>
      </c>
      <c r="G38" s="24" t="n">
        <v>78.8364</v>
      </c>
      <c r="H38" s="24" t="n">
        <v>102.83</v>
      </c>
      <c r="I38" s="24" t="n">
        <v>102.83</v>
      </c>
      <c r="J38" s="26" t="inlineStr">
        <is>
          <t>非常昂貴</t>
        </is>
      </c>
      <c r="K38" s="24" t="n">
        <v>1.5696</v>
      </c>
      <c r="L38" s="24" t="n">
        <v>51.415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196</v>
      </c>
      <c r="D39" s="7" t="inlineStr">
        <is>
          <t>HKD</t>
        </is>
      </c>
      <c r="E39" s="9" t="n">
        <v>151.3067</v>
      </c>
      <c r="F39" s="9" t="n">
        <v>226.9601</v>
      </c>
      <c r="G39" s="9" t="n">
        <v>348.0055</v>
      </c>
      <c r="H39" s="9" t="n">
        <v>453.9202</v>
      </c>
      <c r="I39" s="9" t="n">
        <v>453.9202</v>
      </c>
      <c r="J39" s="11" t="inlineStr">
        <is>
          <t>便宜</t>
        </is>
      </c>
      <c r="K39" s="9" t="n">
        <v>0.6477000000000001</v>
      </c>
      <c r="L39" s="9" t="n">
        <v>226.9601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75.77</v>
      </c>
      <c r="D40" s="7" t="inlineStr">
        <is>
          <t>CNY</t>
        </is>
      </c>
      <c r="E40" s="9" t="n">
        <v>63.2054</v>
      </c>
      <c r="F40" s="9" t="n">
        <v>94.80800000000001</v>
      </c>
      <c r="G40" s="9" t="n">
        <v>145.3723</v>
      </c>
      <c r="H40" s="9" t="n">
        <v>189.6161</v>
      </c>
      <c r="I40" s="9" t="n">
        <v>189.6161</v>
      </c>
      <c r="J40" s="11" t="inlineStr">
        <is>
          <t>便宜</t>
        </is>
      </c>
      <c r="K40" s="9" t="n">
        <v>0.5994</v>
      </c>
      <c r="L40" s="9" t="n">
        <v>94.80800000000001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166.57</v>
      </c>
      <c r="D41" s="12" t="inlineStr">
        <is>
          <t>CNY</t>
        </is>
      </c>
      <c r="E41" s="14" t="n">
        <v>100.1502</v>
      </c>
      <c r="F41" s="14" t="n">
        <v>150.2253</v>
      </c>
      <c r="G41" s="14" t="n">
        <v>230.3454</v>
      </c>
      <c r="H41" s="14" t="n">
        <v>300.4505</v>
      </c>
      <c r="I41" s="14" t="n">
        <v>300.4505</v>
      </c>
      <c r="J41" s="16" t="inlineStr">
        <is>
          <t>合理</t>
        </is>
      </c>
      <c r="K41" s="14" t="n">
        <v>0.8316</v>
      </c>
      <c r="L41" s="14" t="n">
        <v>150.2253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45.72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1.6054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121.59</v>
      </c>
      <c r="D43" s="22" t="inlineStr">
        <is>
          <t>CNY</t>
        </is>
      </c>
      <c r="E43" s="24" t="n">
        <v>25.2746</v>
      </c>
      <c r="F43" s="24" t="n">
        <v>37.9119</v>
      </c>
      <c r="G43" s="24" t="n">
        <v>58.1315</v>
      </c>
      <c r="H43" s="24" t="n">
        <v>75.8237</v>
      </c>
      <c r="I43" s="24" t="n">
        <v>75.8237</v>
      </c>
      <c r="J43" s="26" t="inlineStr">
        <is>
          <t>非常昂貴</t>
        </is>
      </c>
      <c r="K43" s="24" t="n">
        <v>2.4054</v>
      </c>
      <c r="L43" s="24" t="n">
        <v>37.9119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1305.74</v>
      </c>
      <c r="D44" s="12" t="inlineStr">
        <is>
          <t>CNY</t>
        </is>
      </c>
      <c r="E44" s="14" t="n">
        <v>593.417</v>
      </c>
      <c r="F44" s="14" t="n">
        <v>890.1256</v>
      </c>
      <c r="G44" s="14" t="n">
        <v>1364.8592</v>
      </c>
      <c r="H44" s="14" t="n">
        <v>1780.2511</v>
      </c>
      <c r="I44" s="14" t="n">
        <v>1780.2511</v>
      </c>
      <c r="J44" s="16" t="inlineStr">
        <is>
          <t>合理</t>
        </is>
      </c>
      <c r="K44" s="14" t="n">
        <v>1.1002</v>
      </c>
      <c r="L44" s="14" t="n">
        <v>890.1256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29.39</v>
      </c>
      <c r="D45" s="17" t="inlineStr">
        <is>
          <t>CNY</t>
        </is>
      </c>
      <c r="E45" s="19" t="n">
        <v>10.27</v>
      </c>
      <c r="F45" s="19" t="n">
        <v>15.4051</v>
      </c>
      <c r="G45" s="19" t="n">
        <v>23.6211</v>
      </c>
      <c r="H45" s="19" t="n">
        <v>30.8101</v>
      </c>
      <c r="I45" s="19" t="n">
        <v>30.8101</v>
      </c>
      <c r="J45" s="21" t="inlineStr">
        <is>
          <t>昂貴</t>
        </is>
      </c>
      <c r="K45" s="19" t="n">
        <v>1.4309</v>
      </c>
      <c r="L45" s="19" t="n">
        <v>15.4051</v>
      </c>
    </row>
    <row r="46">
      <c r="A46" s="17" t="inlineStr">
        <is>
          <t>601138</t>
        </is>
      </c>
      <c r="B46" s="18" t="inlineStr">
        <is>
          <t>工业富联</t>
        </is>
      </c>
      <c r="C46" s="19" t="n">
        <v>47.21</v>
      </c>
      <c r="D46" s="17" t="inlineStr">
        <is>
          <t>CNY</t>
        </is>
      </c>
      <c r="E46" s="19" t="n">
        <v>17.9199</v>
      </c>
      <c r="F46" s="19" t="n">
        <v>26.8798</v>
      </c>
      <c r="G46" s="19" t="n">
        <v>41.2157</v>
      </c>
      <c r="H46" s="19" t="n">
        <v>53.7596</v>
      </c>
      <c r="I46" s="19" t="n">
        <v>53.7596</v>
      </c>
      <c r="J46" s="21" t="inlineStr">
        <is>
          <t>昂貴</t>
        </is>
      </c>
      <c r="K46" s="19" t="n">
        <v>1.3173</v>
      </c>
      <c r="L46" s="19" t="n">
        <v>26.8798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56.65</v>
      </c>
      <c r="D47" s="7" t="inlineStr">
        <is>
          <t>CNY</t>
        </is>
      </c>
      <c r="E47" s="9" t="n">
        <v>50.4709</v>
      </c>
      <c r="F47" s="9" t="n">
        <v>75.7064</v>
      </c>
      <c r="G47" s="9" t="n">
        <v>116.0831</v>
      </c>
      <c r="H47" s="9" t="n">
        <v>151.4128</v>
      </c>
      <c r="I47" s="9" t="n">
        <v>151.4128</v>
      </c>
      <c r="J47" s="11" t="inlineStr">
        <is>
          <t>便宜</t>
        </is>
      </c>
      <c r="K47" s="9" t="n">
        <v>0.5612</v>
      </c>
      <c r="L47" s="9" t="n">
        <v>75.7064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70.84999999999999</v>
      </c>
      <c r="D48" s="7" t="inlineStr">
        <is>
          <t>CNY</t>
        </is>
      </c>
      <c r="E48" s="9" t="n">
        <v>56.5851</v>
      </c>
      <c r="F48" s="9" t="n">
        <v>84.8777</v>
      </c>
      <c r="G48" s="9" t="n">
        <v>130.1457</v>
      </c>
      <c r="H48" s="9" t="n">
        <v>169.7553</v>
      </c>
      <c r="I48" s="9" t="n">
        <v>169.7553</v>
      </c>
      <c r="J48" s="11" t="inlineStr">
        <is>
          <t>便宜</t>
        </is>
      </c>
      <c r="K48" s="9" t="n">
        <v>0.626</v>
      </c>
      <c r="L48" s="9" t="n">
        <v>84.8777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303.88</v>
      </c>
      <c r="D49" s="22" t="inlineStr">
        <is>
          <t>CNY</t>
        </is>
      </c>
      <c r="E49" s="24" t="n">
        <v>40.7948</v>
      </c>
      <c r="F49" s="24" t="n">
        <v>61.1921</v>
      </c>
      <c r="G49" s="24" t="n">
        <v>93.8279</v>
      </c>
      <c r="H49" s="24" t="n">
        <v>122.3843</v>
      </c>
      <c r="I49" s="24" t="n">
        <v>122.3843</v>
      </c>
      <c r="J49" s="26" t="inlineStr">
        <is>
          <t>非常昂貴</t>
        </is>
      </c>
      <c r="K49" s="24" t="n">
        <v>3.7245</v>
      </c>
      <c r="L49" s="24" t="n">
        <v>61.1921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236.94</v>
      </c>
      <c r="D50" s="22" t="inlineStr">
        <is>
          <t>CNY</t>
        </is>
      </c>
      <c r="E50" s="24" t="n">
        <v>5.2048</v>
      </c>
      <c r="F50" s="24" t="n">
        <v>7.8071</v>
      </c>
      <c r="G50" s="24" t="n">
        <v>11.9709</v>
      </c>
      <c r="H50" s="24" t="n">
        <v>15.6143</v>
      </c>
      <c r="I50" s="24" t="n">
        <v>15.6143</v>
      </c>
      <c r="J50" s="26" t="inlineStr">
        <is>
          <t>非常昂貴</t>
        </is>
      </c>
      <c r="K50" s="24" t="n">
        <v>22.7619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413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61.8221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345.79</v>
      </c>
      <c r="D52" s="22" t="inlineStr">
        <is>
          <t>USD</t>
        </is>
      </c>
      <c r="E52" s="24" t="n">
        <v>24.5801</v>
      </c>
      <c r="F52" s="24" t="n">
        <v>36.8701</v>
      </c>
      <c r="G52" s="24" t="n">
        <v>56.5341</v>
      </c>
      <c r="H52" s="24" t="n">
        <v>73.7402</v>
      </c>
      <c r="I52" s="24" t="n">
        <v>73.7402</v>
      </c>
      <c r="J52" s="26" t="inlineStr">
        <is>
          <t>非常昂貴</t>
        </is>
      </c>
      <c r="K52" s="24" t="n">
        <v>7.034</v>
      </c>
      <c r="L52" s="24" t="n">
        <v>36.8701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2.4326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521.963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inlineStr">
        <is>
          <t>USD</t>
        </is>
      </c>
      <c r="E55" s="24" t="n">
        <v>13.4834</v>
      </c>
      <c r="F55" s="24" t="n">
        <v>20.2251</v>
      </c>
      <c r="G55" s="24" t="n">
        <v>31.0118</v>
      </c>
      <c r="H55" s="24" t="n">
        <v>40.4502</v>
      </c>
      <c r="I55" s="24" t="n">
        <v>40.4502</v>
      </c>
      <c r="J55" s="26" t="inlineStr">
        <is>
          <t>非常昂貴</t>
        </is>
      </c>
      <c r="K55" s="24" t="n">
        <v>12.5443</v>
      </c>
      <c r="L55" s="24" t="n">
        <v>20.2251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inlineStr">
        <is>
          <t>USD</t>
        </is>
      </c>
      <c r="E56" s="24" t="n">
        <v>10.7386</v>
      </c>
      <c r="F56" s="24" t="n">
        <v>16.1079</v>
      </c>
      <c r="G56" s="24" t="n">
        <v>24.6988</v>
      </c>
      <c r="H56" s="24" t="n">
        <v>32.2158</v>
      </c>
      <c r="I56" s="24" t="n">
        <v>32.2158</v>
      </c>
      <c r="J56" s="26" t="inlineStr">
        <is>
          <t>非常昂貴</t>
        </is>
      </c>
      <c r="K56" s="24" t="n">
        <v>8.918799999999999</v>
      </c>
      <c r="L56" s="24" t="n">
        <v>16.1079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355.5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5.6558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inlineStr">
        <is>
          <t>USD</t>
        </is>
      </c>
      <c r="E58" s="9" t="n">
        <v>240.4113</v>
      </c>
      <c r="F58" s="9" t="n">
        <v>360.6169</v>
      </c>
      <c r="G58" s="9" t="n">
        <v>552.946</v>
      </c>
      <c r="H58" s="9" t="n">
        <v>721.2338999999999</v>
      </c>
      <c r="I58" s="9" t="n">
        <v>721.2338999999999</v>
      </c>
      <c r="J58" s="11" t="inlineStr">
        <is>
          <t>便宜</t>
        </is>
      </c>
      <c r="K58" s="9" t="n">
        <v>0.5189</v>
      </c>
      <c r="L58" s="9" t="n">
        <v>360.6169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6.4208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inlineStr">
        <is>
          <t>USD</t>
        </is>
      </c>
      <c r="E60" s="24" t="n">
        <v>272.3625</v>
      </c>
      <c r="F60" s="24" t="n">
        <v>408.5437</v>
      </c>
      <c r="G60" s="24" t="n">
        <v>626.4337</v>
      </c>
      <c r="H60" s="24" t="n">
        <v>817.0875</v>
      </c>
      <c r="I60" s="24" t="n">
        <v>817.0875</v>
      </c>
      <c r="J60" s="26" t="inlineStr">
        <is>
          <t>非常昂貴</t>
        </is>
      </c>
      <c r="K60" s="24" t="n">
        <v>2.1558</v>
      </c>
      <c r="L60" s="24" t="n">
        <v>408.5437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546.715</v>
      </c>
      <c r="D61" s="22" t="inlineStr">
        <is>
          <t>USD</t>
        </is>
      </c>
      <c r="E61" s="24" t="n">
        <v>40.8364</v>
      </c>
      <c r="F61" s="24" t="n">
        <v>61.2546</v>
      </c>
      <c r="G61" s="24" t="n">
        <v>93.9237</v>
      </c>
      <c r="H61" s="24" t="n">
        <v>122.5092</v>
      </c>
      <c r="I61" s="24" t="n">
        <v>122.5092</v>
      </c>
      <c r="J61" s="26" t="inlineStr">
        <is>
          <t>非常昂貴</t>
        </is>
      </c>
      <c r="K61" s="24" t="n">
        <v>6.694</v>
      </c>
      <c r="L61" s="24" t="n">
        <v>61.2546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inlineStr">
        <is>
          <t>USD</t>
        </is>
      </c>
      <c r="E62" s="29" t="n">
        <v>9704.9936</v>
      </c>
      <c r="F62" s="29" t="n">
        <v>14557.4905</v>
      </c>
      <c r="G62" s="29" t="n">
        <v>22321.4854</v>
      </c>
      <c r="H62" s="29" t="n">
        <v>29114.9809</v>
      </c>
      <c r="I62" s="29" t="n">
        <v>29114.9809</v>
      </c>
      <c r="J62" s="31" t="inlineStr">
        <is>
          <t>無法估值</t>
        </is>
      </c>
      <c r="K62" s="29" t="n">
        <v>0.007900000000000001</v>
      </c>
      <c r="L62" s="29" t="n">
        <v>14557.4905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52.6094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4.9124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inlineStr">
        <is>
          <t>USD</t>
        </is>
      </c>
      <c r="E64" s="24" t="n">
        <v>10.1113</v>
      </c>
      <c r="F64" s="24" t="n">
        <v>15.167</v>
      </c>
      <c r="G64" s="24" t="n">
        <v>23.2561</v>
      </c>
      <c r="H64" s="24" t="n">
        <v>30.334</v>
      </c>
      <c r="I64" s="24" t="n">
        <v>30.334</v>
      </c>
      <c r="J64" s="26" t="inlineStr">
        <is>
          <t>非常昂貴</t>
        </is>
      </c>
      <c r="K64" s="24" t="n">
        <v>7.5566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5.016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7.363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83.0245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inlineStr">
        <is>
          <t>USD</t>
        </is>
      </c>
      <c r="E67" s="4" t="n">
        <v>3154.1127</v>
      </c>
      <c r="F67" s="4" t="n">
        <v>4731.169</v>
      </c>
      <c r="G67" s="4" t="n">
        <v>7254.4591</v>
      </c>
      <c r="H67" s="4" t="n">
        <v>9462.338</v>
      </c>
      <c r="I67" s="4" t="n">
        <v>9462.338</v>
      </c>
      <c r="J67" s="6" t="inlineStr">
        <is>
          <t>非常便宜</t>
        </is>
      </c>
      <c r="K67" s="4" t="n">
        <v>0.07000000000000001</v>
      </c>
      <c r="L67" s="4" t="n">
        <v>4731.169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inlineStr">
        <is>
          <t>USD</t>
        </is>
      </c>
      <c r="E68" s="14" t="n">
        <v>184.7122</v>
      </c>
      <c r="F68" s="14" t="n">
        <v>277.0683</v>
      </c>
      <c r="G68" s="14" t="n">
        <v>424.8381</v>
      </c>
      <c r="H68" s="14" t="n">
        <v>554.1366</v>
      </c>
      <c r="I68" s="14" t="n">
        <v>554.1366</v>
      </c>
      <c r="J68" s="16" t="inlineStr">
        <is>
          <t>合理</t>
        </is>
      </c>
      <c r="K68" s="14" t="n">
        <v>1.0233</v>
      </c>
      <c r="L68" s="14" t="n">
        <v>277.0683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inlineStr">
        <is>
          <t>USD</t>
        </is>
      </c>
      <c r="E69" s="24" t="n">
        <v>27.1297</v>
      </c>
      <c r="F69" s="24" t="n">
        <v>40.6946</v>
      </c>
      <c r="G69" s="24" t="n">
        <v>62.3983</v>
      </c>
      <c r="H69" s="24" t="n">
        <v>81.3891</v>
      </c>
      <c r="I69" s="24" t="n">
        <v>81.3891</v>
      </c>
      <c r="J69" s="26" t="inlineStr">
        <is>
          <t>非常昂貴</t>
        </is>
      </c>
      <c r="K69" s="24" t="n">
        <v>7.2525</v>
      </c>
      <c r="L69" s="24" t="n">
        <v>40.6946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inlineStr">
        <is>
          <t>USD</t>
        </is>
      </c>
      <c r="E70" s="24" t="n">
        <v>4.4156</v>
      </c>
      <c r="F70" s="24" t="n">
        <v>6.6234</v>
      </c>
      <c r="G70" s="24" t="n">
        <v>10.1559</v>
      </c>
      <c r="H70" s="24" t="n">
        <v>13.2469</v>
      </c>
      <c r="I70" s="24" t="n">
        <v>13.2469</v>
      </c>
      <c r="J70" s="26" t="inlineStr">
        <is>
          <t>非常昂貴</t>
        </is>
      </c>
      <c r="K70" s="24" t="n">
        <v>12.8804</v>
      </c>
      <c r="L70" s="24" t="n">
        <v>6.6234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147.6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5.08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1.145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84.52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39.53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26.28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1.225</v>
      </c>
      <c r="D8" s="32" t="n">
        <v>24829258000</v>
      </c>
      <c r="E8" s="32" t="n">
        <v>1333393000</v>
      </c>
      <c r="F8" s="32" t="n">
        <v>830955000</v>
      </c>
      <c r="G8" s="32" t="n">
        <v>479345000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1.93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32.12</v>
      </c>
      <c r="D9" s="32" t="n">
        <v>592527830000</v>
      </c>
      <c r="E9" s="32" t="n">
        <v>11819419000</v>
      </c>
      <c r="F9" s="32" t="n">
        <v>-3971275000</v>
      </c>
      <c r="G9" s="32" t="n">
        <v>-9302887000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-1.57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8.13355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33.27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4.51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371.8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417.8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5.635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9.135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19.85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10.3</v>
      </c>
      <c r="D16" s="32" t="n">
        <v>2941939000000</v>
      </c>
      <c r="E16" s="32" t="n">
        <v>176069000000</v>
      </c>
      <c r="F16" s="32" t="n">
        <v>436551000000</v>
      </c>
      <c r="G16" s="32" t="n">
        <v>436079000000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14.82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14.235594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24.2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9.835000000000001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80.75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4.795</v>
      </c>
      <c r="D20" s="32" t="n">
        <v>78353551000</v>
      </c>
      <c r="E20" s="32" t="n">
        <v>-232582000</v>
      </c>
      <c r="F20" s="32" t="n">
        <v>13811360000</v>
      </c>
      <c r="G20" s="32" t="n">
        <v>9728772000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12.42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59.011795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-117.84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53.95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26.8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7.535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26.86</v>
      </c>
      <c r="D24" s="32" t="n">
        <v>438100486000</v>
      </c>
      <c r="E24" s="32" t="n">
        <v>33000188000</v>
      </c>
      <c r="F24" s="32" t="n">
        <v>8137871000</v>
      </c>
      <c r="G24" s="32" t="n">
        <v>-3318883000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-0.76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9.74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3.25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3/7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0.168</v>
      </c>
      <c r="D26" s="32" t="n">
        <v>126404000000</v>
      </c>
      <c r="E26" s="32" t="n">
        <v>6723000000</v>
      </c>
      <c r="F26" s="32" t="n">
        <v>5141000000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50.25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203.4</v>
      </c>
      <c r="D28" s="32" t="n">
        <v>52792797000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52.05</v>
      </c>
      <c r="J28" s="32" t="n">
        <v>48.56</v>
      </c>
      <c r="K28" s="32" t="n">
        <v>41.65</v>
      </c>
      <c r="L28" s="32" t="n">
        <v>23.25</v>
      </c>
      <c r="M28" s="32" t="n">
        <v>26.39</v>
      </c>
      <c r="N28" s="32" t="n">
        <v>16.73</v>
      </c>
      <c r="O28" s="32" t="n">
        <v>0.727845</v>
      </c>
      <c r="P28" s="32" t="n">
        <v>45.46</v>
      </c>
      <c r="Q28" s="32" t="n">
        <v>27.85</v>
      </c>
      <c r="R28" s="32" t="n">
        <v>0.102319</v>
      </c>
      <c r="S28" s="32" t="n">
        <v>2.54031</v>
      </c>
      <c r="T28" s="32" t="n">
        <v>83.64303099999999</v>
      </c>
      <c r="U28" s="32" t="n">
        <v>38088875000</v>
      </c>
      <c r="V28" s="32" t="n">
        <v>10680593000</v>
      </c>
      <c r="W28" s="32" t="n">
        <v>3.33</v>
      </c>
      <c r="X28" s="32" t="n">
        <v>21.3</v>
      </c>
      <c r="Y28" s="32" t="n">
        <v>24.42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3.315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49.78</v>
      </c>
      <c r="D30" s="32" t="n">
        <v>113253000000</v>
      </c>
      <c r="E30" s="32" t="n">
        <v>6142000000</v>
      </c>
      <c r="F30" s="32" t="n">
        <v>10866000000</v>
      </c>
      <c r="G30" s="32" t="n">
        <v>4591000000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4.05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63.84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76.2</v>
      </c>
      <c r="D31" s="32" t="n">
        <v>382840334000</v>
      </c>
      <c r="E31" s="32" t="n">
        <v>-38449146000</v>
      </c>
      <c r="F31" s="32" t="n">
        <v>-26000486000</v>
      </c>
      <c r="G31" s="32" t="n">
        <v>-40348161000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-10.54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449.8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53.5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4.41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17.37</v>
      </c>
      <c r="D35" s="32" t="n">
        <v>70315732000</v>
      </c>
      <c r="E35" s="32" t="n">
        <v>3451827000</v>
      </c>
      <c r="F35" s="32" t="n">
        <v>9151999000</v>
      </c>
      <c r="G35" s="32" t="n">
        <v>-954030000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-1.36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18.67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105.3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308.6</v>
      </c>
      <c r="D37" s="32" t="n">
        <v>58472000000</v>
      </c>
      <c r="E37" s="32" t="n">
        <v>24212000000</v>
      </c>
      <c r="F37" s="32" t="n">
        <v>14379000000</v>
      </c>
      <c r="G37" s="32" t="n">
        <v>13582000000</v>
      </c>
      <c r="H37" s="32" t="n">
        <v>19034000000</v>
      </c>
      <c r="I37" s="32" t="n">
        <v>89.81999999999999</v>
      </c>
      <c r="J37" s="32" t="n">
        <v>18.11</v>
      </c>
      <c r="K37" s="32" t="n">
        <v>41.41</v>
      </c>
      <c r="L37" s="32" t="n">
        <v>23.23</v>
      </c>
      <c r="M37" s="32" t="n">
        <v>15.21</v>
      </c>
      <c r="N37" s="32" t="n">
        <v>4.03</v>
      </c>
      <c r="O37" s="32" t="n">
        <v>0</v>
      </c>
      <c r="P37" s="32" t="n">
        <v>8</v>
      </c>
      <c r="Q37" s="32" t="n">
        <v>37.93</v>
      </c>
      <c r="R37" s="32" t="n">
        <v>0.169384</v>
      </c>
      <c r="S37" s="32" t="n">
        <v>1.326817</v>
      </c>
      <c r="T37" s="32" t="n">
        <v>19.983019</v>
      </c>
      <c r="U37" s="32" t="n">
        <v>52551000000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5.88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107.6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196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75.77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5/7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166.57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45.72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121.59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1305.74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29.39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47.21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56.65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70.84999999999999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303.88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236.94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413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345.79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260.5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521.963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338.28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191.55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355.5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249.5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90.20999999999999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1174.33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0.686949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546.715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153.786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224.73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152.815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32.115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376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19.93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441.82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378.04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393.515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113.75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147.6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5.08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1.145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84.52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88.8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39.53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2" t="inlineStr">
        <is>
          <t>002335</t>
        </is>
      </c>
      <c r="B7" s="13" t="inlineStr">
        <is>
          <t>科华数据</t>
        </is>
      </c>
      <c r="C7" s="14" t="n">
        <v>26.28</v>
      </c>
      <c r="D7" s="12" t="n">
        <v>3.3</v>
      </c>
      <c r="E7" s="12" t="inlineStr">
        <is>
          <t>★★☆☆☆</t>
        </is>
      </c>
      <c r="F7" s="16" t="inlineStr">
        <is>
          <t>合理</t>
        </is>
      </c>
      <c r="G7" s="12" t="inlineStr">
        <is>
          <t>昂貴</t>
        </is>
      </c>
      <c r="H7" s="12" t="n">
        <v>94.7</v>
      </c>
      <c r="I7" s="13" t="inlineStr">
        <is>
          <t>現金流穩健但獲利薄、ROIC未達資本成本，財務體質中等偏弱</t>
        </is>
      </c>
      <c r="J7" s="13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3" t="inlineStr">
        <is>
          <t>ROIC低於WACC，持續破壞股東價值 / 終值佔比超100%，估值極度依賴遠期假設 / 5年EPS零成長，獲利未隨營收提升</t>
        </is>
      </c>
      <c r="L7" s="12" t="inlineStr">
        <is>
          <t>qwen3.8-max</t>
        </is>
      </c>
      <c r="M7" s="12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1.225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32.12</v>
      </c>
      <c r="D9" s="12" t="n">
        <v>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盈利持續但現金流轉負、槓桿偏高，財務體質承壓</t>
        </is>
      </c>
      <c r="J9" s="13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13" t="inlineStr">
        <is>
          <t>經營現金流連續轉負，盈利品質惡化 / 有息負債718.9億，淨現金-1070億 / 毛利率僅4.65%，極度受銅價波動影響</t>
        </is>
      </c>
      <c r="L9" s="12" t="inlineStr">
        <is>
          <t>qwen3.8-max</t>
        </is>
      </c>
      <c r="M9" s="12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4.51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92.8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371.8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417.8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5.635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9.135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83.40000000000001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19.85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10.3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97.7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24.2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9.835000000000001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80.75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4.795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53.95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82.8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26.8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92.8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7.535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26.86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94.40000000000001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3.25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0.168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50.25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203.4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94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3.315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49.78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93.40000000000001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76.2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449.8</v>
      </c>
      <c r="D32" s="17" t="n">
        <v>4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ROE逾22%、淨現金1,206億，獲利與現金流品質優異</t>
        </is>
      </c>
      <c r="J32" s="18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8" t="inlineStr">
        <is>
          <t>營收增速趨緩，成熟期成長天花板 / 估值溢價25%，安全邊際不足 / 格雷厄姆防禦檢查僅通過2/7</t>
        </is>
      </c>
      <c r="L32" s="17" t="inlineStr">
        <is>
          <t>qwen3.8-max</t>
        </is>
      </c>
      <c r="M32" s="17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53.5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4.41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17" t="inlineStr">
        <is>
          <t>06613</t>
        </is>
      </c>
      <c r="B35" s="18" t="inlineStr">
        <is>
          <t>蓝思科技</t>
        </is>
      </c>
      <c r="C35" s="19" t="n">
        <v>17.37</v>
      </c>
      <c r="D35" s="17" t="n">
        <v>3</v>
      </c>
      <c r="E35" s="17" t="inlineStr">
        <is>
          <t>★★☆☆☆</t>
        </is>
      </c>
      <c r="F35" s="21" t="inlineStr">
        <is>
          <t>昂貴</t>
        </is>
      </c>
      <c r="G35" s="17" t="inlineStr">
        <is>
          <t>非常昂貴</t>
        </is>
      </c>
      <c r="H35" s="17" t="n">
        <v>85.2</v>
      </c>
      <c r="I35" s="18" t="inlineStr">
        <is>
          <t>獲利穩定但利潤率薄，資本密集致自由現金流極弱</t>
        </is>
      </c>
      <c r="J35" s="18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18" t="inlineStr">
        <is>
          <t>資本支出龐大壓縮自由現金流 / 毛利率僅15.7%抗風險力弱 / 終值佔比122%估值高度不確定</t>
        </is>
      </c>
      <c r="L35" s="17" t="inlineStr">
        <is>
          <t>qwen3.8-max</t>
        </is>
      </c>
      <c r="M35" s="17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105.3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308.6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89.5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107.6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196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75.77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166.57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45.72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121.59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1305.74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29.39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17" t="inlineStr">
        <is>
          <t>601138</t>
        </is>
      </c>
      <c r="B46" s="18" t="inlineStr">
        <is>
          <t>工业富联</t>
        </is>
      </c>
      <c r="C46" s="19" t="n">
        <v>47.21</v>
      </c>
      <c r="D46" s="17" t="n">
        <v>3.5</v>
      </c>
      <c r="E46" s="17" t="inlineStr">
        <is>
          <t>★★☆☆☆</t>
        </is>
      </c>
      <c r="F46" s="21" t="inlineStr">
        <is>
          <t>昂貴</t>
        </is>
      </c>
      <c r="G46" s="17" t="inlineStr">
        <is>
          <t>非常昂貴</t>
        </is>
      </c>
      <c r="H46" s="17" t="n">
        <v>92.3</v>
      </c>
      <c r="I46" s="18" t="inlineStr">
        <is>
          <t>營收高增但自由現金流為負，薄利模式高度依賴資本開支擴張</t>
        </is>
      </c>
      <c r="J46" s="18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18" t="inlineStr">
        <is>
          <t>自由現金流持續為負，資本開支壓力大 / 毛利率僅7.2%，抗風險緩衝極薄 / 現價溢價65%，估值回歸風險顯著</t>
        </is>
      </c>
      <c r="L46" s="17" t="inlineStr">
        <is>
          <t>qwen3.8-max</t>
        </is>
      </c>
      <c r="M46" s="17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56.65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70.84999999999999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303.88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94.5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236.94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413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345.79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260.5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521.963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338.28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191.55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355.5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249.5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90.20999999999999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1174.33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546.715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153.786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224.73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152.815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32.115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376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441.82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80.09999999999999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378.04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393.515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113.75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74.40000000000001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2026-10-15T02:15:59Z</dcterms:created>
  <dcterms:modified xmlns:dcterms="http://purl.org/dc/terms/" xmlns:xsi="http://www.w3.org/2001/XMLSchema-instance" xsi:type="dcterms:W3CDTF">2026-10-15T02:16:03Z</dcterms:modified>
</cp:coreProperties>
</file>