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23.68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71.7461</v>
      </c>
      <c r="J2" s="4" t="n">
        <v>41.3411</v>
      </c>
      <c r="K2" s="4" t="n">
        <v>67.77670000000001</v>
      </c>
      <c r="L2" s="5" t="n">
        <v>-67</v>
      </c>
      <c r="M2" s="5" t="n">
        <v>25</v>
      </c>
      <c r="N2" s="4" t="n">
        <v>53.8095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2026-09-18</t>
        </is>
      </c>
      <c r="AF2" s="3" t="inlineStr">
        <is>
          <t>缺關鍵科目：capex / 報表幣別 CNY → 交易幣別 HKD，匯率 1.1641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3.305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13.2428</v>
      </c>
      <c r="J3" s="4" t="n">
        <v>6.861</v>
      </c>
      <c r="K3" s="4" t="n">
        <v>11.2318</v>
      </c>
      <c r="L3" s="5" t="n">
        <v>-75</v>
      </c>
      <c r="M3" s="5" t="n">
        <v>25</v>
      </c>
      <c r="N3" s="4" t="n">
        <v>9.9321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2026-09-18</t>
        </is>
      </c>
      <c r="AF3" s="3" t="inlineStr">
        <is>
          <t>報表幣別 CNY → 交易幣別 HKD，匯率 1.1641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9.57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23.0098</v>
      </c>
      <c r="J4" s="4" t="n">
        <v>14.8901</v>
      </c>
      <c r="K4" s="4" t="n">
        <v>15.5519</v>
      </c>
      <c r="L4" s="5" t="n">
        <v>-58.4</v>
      </c>
      <c r="M4" s="5" t="n">
        <v>25</v>
      </c>
      <c r="N4" s="4" t="n">
        <v>17.2574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2026-09-18</t>
        </is>
      </c>
      <c r="AF4" s="3" t="inlineStr">
        <is>
          <t>報表幣別 CNY → 交易幣別 HKD，匯率 1.1641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4.11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8.303599999999999</v>
      </c>
      <c r="J5" s="4" t="n">
        <v>3.8731</v>
      </c>
      <c r="K5" s="4" t="n">
        <v>7.0639</v>
      </c>
      <c r="L5" s="5" t="n">
        <v>-50.5</v>
      </c>
      <c r="M5" s="5" t="n">
        <v>25</v>
      </c>
      <c r="N5" s="4" t="n">
        <v>6.2277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2026-09-18</t>
        </is>
      </c>
      <c r="AF5" s="3" t="inlineStr">
        <is>
          <t>報表幣別 CNY → 交易幣別 HKD，匯率 1.1641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38.26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142.5454</v>
      </c>
      <c r="J6" s="4" t="n">
        <v>55.8024</v>
      </c>
      <c r="K6" s="4" t="n">
        <v>151.0522</v>
      </c>
      <c r="L6" s="5" t="n">
        <v>-73.2</v>
      </c>
      <c r="M6" s="5" t="n">
        <v>25</v>
      </c>
      <c r="N6" s="4" t="n">
        <v>106.9091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2026-09-18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1.27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3.8023</v>
      </c>
      <c r="J8" s="4" t="n">
        <v>2.2076</v>
      </c>
      <c r="K8" s="4" t="n">
        <v>2.9007</v>
      </c>
      <c r="L8" s="5" t="n">
        <v>-66.59999999999999</v>
      </c>
      <c r="M8" s="5" t="n">
        <v>25</v>
      </c>
      <c r="N8" s="4" t="n">
        <v>2.8517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2026-09-18</t>
        </is>
      </c>
      <c r="AF8" s="3" t="inlineStr">
        <is>
          <t>報表幣別 CNY → 交易幣別 HKD，匯率 1.1641</t>
        </is>
      </c>
    </row>
    <row r="9">
      <c r="A9" s="2" t="inlineStr">
        <is>
          <t>HK</t>
        </is>
      </c>
      <c r="B9" s="2" t="inlineStr">
        <is>
          <t>03968</t>
        </is>
      </c>
      <c r="C9" s="3" t="inlineStr">
        <is>
          <t>招商银行</t>
        </is>
      </c>
      <c r="D9" s="4" t="n">
        <v>51.4</v>
      </c>
      <c r="E9" s="3" t="inlineStr"/>
      <c r="F9" s="2" t="inlineStr">
        <is>
          <t>financial</t>
        </is>
      </c>
      <c r="G9" s="2" t="inlineStr">
        <is>
          <t>HKD</t>
        </is>
      </c>
      <c r="H9" s="3" t="inlineStr"/>
      <c r="I9" s="4" t="n">
        <v>588.5381</v>
      </c>
      <c r="J9" s="4" t="n">
        <v>32.241</v>
      </c>
      <c r="K9" s="4" t="n">
        <v>132.0587</v>
      </c>
      <c r="L9" s="5" t="n">
        <v>-91.3</v>
      </c>
      <c r="M9" s="5" t="n">
        <v>25</v>
      </c>
      <c r="N9" s="4" t="n">
        <v>441.4036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6.8</v>
      </c>
      <c r="S9" s="2" t="inlineStr">
        <is>
          <t>★★★☆☆</t>
        </is>
      </c>
      <c r="T9" s="2" t="n">
        <v>6</v>
      </c>
      <c r="U9" s="2" t="n">
        <v>7</v>
      </c>
      <c r="V9" s="2" t="n">
        <v>6</v>
      </c>
      <c r="W9" s="2" t="n">
        <v>86.2</v>
      </c>
      <c r="X9" s="3" t="inlineStr">
        <is>
          <t>連續十年獲利、ROE 11.3%、EPS五年CAGR 8.5%，財務體質穩健</t>
        </is>
      </c>
      <c r="Y9" s="5" t="n">
        <v>11.3</v>
      </c>
      <c r="Z9" s="5" t="n">
        <v>10.9</v>
      </c>
      <c r="AA9" s="5" t="inlineStr"/>
      <c r="AB9" s="5" t="n">
        <v>90.2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2026-09-18</t>
        </is>
      </c>
      <c r="AF9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18.9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-64.59999999999999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6.5</v>
      </c>
      <c r="S10" s="2" t="inlineStr">
        <is>
          <t>★★★☆☆</t>
        </is>
      </c>
      <c r="T10" s="2" t="n">
        <v>6</v>
      </c>
      <c r="U10" s="2" t="n">
        <v>6</v>
      </c>
      <c r="V10" s="2" t="n">
        <v>6.5</v>
      </c>
      <c r="W10" s="2" t="n">
        <v>88.3</v>
      </c>
      <c r="X10" s="3" t="inlineStr">
        <is>
          <t>十年連續獲利但高槓桿與極薄自由現金流制約財務彈性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2026-09-18</t>
        </is>
      </c>
      <c r="AF10" s="3" t="inlineStr"/>
    </row>
    <row r="11">
      <c r="A11" s="2" t="inlineStr">
        <is>
          <t>US</t>
        </is>
      </c>
      <c r="B11" s="2" t="inlineStr">
        <is>
          <t>BRK_B</t>
        </is>
      </c>
      <c r="C11" s="3" t="inlineStr">
        <is>
          <t>伯克希尔哈撒韦-B</t>
        </is>
      </c>
      <c r="D11" s="4" t="n">
        <v>508.34</v>
      </c>
      <c r="E11" s="3" t="inlineStr"/>
      <c r="F11" s="2" t="inlineStr">
        <is>
          <t>financial</t>
        </is>
      </c>
      <c r="G11" s="2" t="inlineStr">
        <is>
          <t>USD</t>
        </is>
      </c>
      <c r="H11" s="3" t="inlineStr">
        <is>
          <t>波克夏</t>
        </is>
      </c>
      <c r="I11" s="4" t="n">
        <v>1600617.8442</v>
      </c>
      <c r="J11" s="4" t="n">
        <v>65491.5835</v>
      </c>
      <c r="K11" s="4" t="n">
        <v>2552279.1766</v>
      </c>
      <c r="L11" s="5" t="n">
        <v>-100</v>
      </c>
      <c r="M11" s="5" t="n">
        <v>25</v>
      </c>
      <c r="N11" s="4" t="n">
        <v>1200463.3831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6.5</v>
      </c>
      <c r="U11" s="2" t="n">
        <v>6</v>
      </c>
      <c r="V11" s="2" t="n">
        <v>4</v>
      </c>
      <c r="W11" s="2" t="n">
        <v>54.1</v>
      </c>
      <c r="X11" s="3" t="inlineStr">
        <is>
          <t>資產負債極穩健、十年持續獲利，但獲利波動大且缺現金流數據</t>
        </is>
      </c>
      <c r="Y11" s="5" t="n">
        <v>4.3</v>
      </c>
      <c r="Z11" s="5" t="n">
        <v>6.2</v>
      </c>
      <c r="AA11" s="5" t="inlineStr"/>
      <c r="AB11" s="5" t="n">
        <v>40.6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2026-09-18</t>
        </is>
      </c>
      <c r="AF11" s="3" t="inlineStr">
        <is>
          <t>行情總股本(2,140,710,161)與財報EPS反推(53,742,825)差異&gt;25%，已改用反推值 / 缺關鍵科目：revenue,cfo,capex,d_and_a,current_assets,current_liab</t>
        </is>
      </c>
    </row>
    <row r="12">
      <c r="A12" s="2" t="inlineStr">
        <is>
          <t>HK</t>
        </is>
      </c>
      <c r="B12" s="2" t="inlineStr">
        <is>
          <t>00386</t>
        </is>
      </c>
      <c r="C12" s="3" t="inlineStr">
        <is>
          <t>中国石油化工股份</t>
        </is>
      </c>
      <c r="D12" s="4" t="n">
        <v>4.495</v>
      </c>
      <c r="E12" s="3" t="inlineStr"/>
      <c r="F12" s="2" t="inlineStr">
        <is>
          <t>mature</t>
        </is>
      </c>
      <c r="G12" s="2" t="inlineStr">
        <is>
          <t>HKD</t>
        </is>
      </c>
      <c r="H12" s="3" t="inlineStr"/>
      <c r="I12" s="4" t="n">
        <v>9.319599999999999</v>
      </c>
      <c r="J12" s="4" t="n">
        <v>3.5349</v>
      </c>
      <c r="K12" s="4" t="n">
        <v>6.2714</v>
      </c>
      <c r="L12" s="5" t="n">
        <v>-51.8</v>
      </c>
      <c r="M12" s="5" t="n">
        <v>25</v>
      </c>
      <c r="N12" s="4" t="n">
        <v>6.9897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便宜</t>
        </is>
      </c>
      <c r="R12" s="2" t="n">
        <v>5</v>
      </c>
      <c r="S12" s="2" t="inlineStr">
        <is>
          <t>★★☆☆☆</t>
        </is>
      </c>
      <c r="T12" s="2" t="n">
        <v>5.5</v>
      </c>
      <c r="U12" s="2" t="n">
        <v>4.5</v>
      </c>
      <c r="V12" s="2" t="n">
        <v>4</v>
      </c>
      <c r="W12" s="2" t="n">
        <v>92.59999999999999</v>
      </c>
      <c r="X12" s="3" t="inlineStr">
        <is>
          <t>獲利極薄、營收衰退，但現金流穩健且連續派息</t>
        </is>
      </c>
      <c r="Y12" s="5" t="n">
        <v>4.2</v>
      </c>
      <c r="Z12" s="5" t="n">
        <v>3.5</v>
      </c>
      <c r="AA12" s="5" t="n">
        <v>23.5</v>
      </c>
      <c r="AB12" s="5" t="n">
        <v>54.4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2026-09-18</t>
        </is>
      </c>
      <c r="AF12" s="3" t="inlineStr">
        <is>
          <t>缺關鍵科目：capex / 報表幣別 CNY → 交易幣別 HKD，匯率 1.1641</t>
        </is>
      </c>
    </row>
    <row r="13">
      <c r="A13" s="2" t="inlineStr">
        <is>
          <t>HK</t>
        </is>
      </c>
      <c r="B13" s="2" t="inlineStr">
        <is>
          <t>00939</t>
        </is>
      </c>
      <c r="C13" s="3" t="inlineStr">
        <is>
          <t>建设银行</t>
        </is>
      </c>
      <c r="D13" s="4" t="n">
        <v>9.65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130.7854</v>
      </c>
      <c r="J13" s="4" t="n">
        <v>7.1079</v>
      </c>
      <c r="K13" s="4" t="n">
        <v>20.1692</v>
      </c>
      <c r="L13" s="5" t="n">
        <v>-92.59999999999999</v>
      </c>
      <c r="M13" s="5" t="n">
        <v>25</v>
      </c>
      <c r="N13" s="4" t="n">
        <v>98.0891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4.5</v>
      </c>
      <c r="U13" s="2" t="n">
        <v>5.5</v>
      </c>
      <c r="V13" s="2" t="n">
        <v>4.5</v>
      </c>
      <c r="W13" s="2" t="n">
        <v>87.40000000000001</v>
      </c>
      <c r="X13" s="3" t="inlineStr">
        <is>
          <t>連續十年獲利、ROE穩定約9%，但成長溫和、槓桿極高</t>
        </is>
      </c>
      <c r="Y13" s="5" t="n">
        <v>9.1</v>
      </c>
      <c r="Z13" s="5" t="n">
        <v>9.1</v>
      </c>
      <c r="AA13" s="5" t="inlineStr"/>
      <c r="AB13" s="5" t="n">
        <v>91.90000000000001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2026-09-18</t>
        </is>
      </c>
      <c r="AF13" s="3" t="inlineStr">
        <is>
          <t>行情總股本(261,600,381,459)與財報EPS反推(2,818,008,461,538)差異&gt;25%，已改用反推值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01398</t>
        </is>
      </c>
      <c r="C14" s="3" t="inlineStr">
        <is>
          <t>工商银行</t>
        </is>
      </c>
      <c r="D14" s="4" t="n">
        <v>7.5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98.4873</v>
      </c>
      <c r="J14" s="4" t="n">
        <v>5.5194</v>
      </c>
      <c r="K14" s="4" t="n">
        <v>13.1093</v>
      </c>
      <c r="L14" s="5" t="n">
        <v>-92.40000000000001</v>
      </c>
      <c r="M14" s="5" t="n">
        <v>25</v>
      </c>
      <c r="N14" s="4" t="n">
        <v>73.8655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4.5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</v>
      </c>
      <c r="W14" s="2" t="n">
        <v>87.8</v>
      </c>
      <c r="X14" s="3" t="inlineStr">
        <is>
          <t>十年穩定獲利派息，ROE約8.7%，成長溫和但財務體質穩健</t>
        </is>
      </c>
      <c r="Y14" s="5" t="n">
        <v>8.6</v>
      </c>
      <c r="Z14" s="5" t="n">
        <v>8.699999999999999</v>
      </c>
      <c r="AA14" s="5" t="inlineStr"/>
      <c r="AB14" s="5" t="n">
        <v>92.40000000000001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2026-09-18</t>
        </is>
      </c>
      <c r="AF14" s="3" t="inlineStr">
        <is>
          <t>行情總股本(356,406,257,089)與財報EPS反推(4,244,259,000,000)差異&gt;25%，已改用反推值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02318</t>
        </is>
      </c>
      <c r="C15" s="3" t="inlineStr">
        <is>
          <t>中国平安</t>
        </is>
      </c>
      <c r="D15" s="4" t="n">
        <v>53.2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699.6943</v>
      </c>
      <c r="J15" s="4" t="n">
        <v>44.8893</v>
      </c>
      <c r="K15" s="4" t="n">
        <v>136.5623</v>
      </c>
      <c r="L15" s="5" t="n">
        <v>-92.40000000000001</v>
      </c>
      <c r="M15" s="5" t="n">
        <v>25</v>
      </c>
      <c r="N15" s="4" t="n">
        <v>524.7707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3.5</v>
      </c>
      <c r="U15" s="2" t="n">
        <v>5.5</v>
      </c>
      <c r="V15" s="2" t="n">
        <v>5</v>
      </c>
      <c r="W15" s="2" t="n">
        <v>91.2</v>
      </c>
      <c r="X15" s="3" t="inlineStr">
        <is>
          <t>現金流充沛但獲利波動大、槓桿高，防禦檢查僅過2/7</t>
        </is>
      </c>
      <c r="Y15" s="5" t="n">
        <v>15.5</v>
      </c>
      <c r="Z15" s="5" t="inlineStr"/>
      <c r="AA15" s="5" t="n">
        <v>-178.5</v>
      </c>
      <c r="AB15" s="5" t="n">
        <v>89.8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2026-09-18</t>
        </is>
      </c>
      <c r="AF15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6">
      <c r="A16" s="7" t="inlineStr">
        <is>
          <t>CN</t>
        </is>
      </c>
      <c r="B16" s="7" t="inlineStr">
        <is>
          <t>603605</t>
        </is>
      </c>
      <c r="C16" s="8" t="inlineStr">
        <is>
          <t>珀莱雅</t>
        </is>
      </c>
      <c r="D16" s="9" t="n">
        <v>55.95</v>
      </c>
      <c r="E16" s="8" t="inlineStr"/>
      <c r="F16" s="7" t="inlineStr">
        <is>
          <t>growth</t>
        </is>
      </c>
      <c r="G16" s="7" t="inlineStr">
        <is>
          <t>CNY</t>
        </is>
      </c>
      <c r="H16" s="8" t="inlineStr"/>
      <c r="I16" s="9" t="n">
        <v>100.945</v>
      </c>
      <c r="J16" s="9" t="n">
        <v>56.4725</v>
      </c>
      <c r="K16" s="9" t="n">
        <v>94.1225</v>
      </c>
      <c r="L16" s="10" t="n">
        <v>-44.6</v>
      </c>
      <c r="M16" s="10" t="n">
        <v>25</v>
      </c>
      <c r="N16" s="9" t="n">
        <v>75.70869999999999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</v>
      </c>
      <c r="S16" s="7" t="inlineStr">
        <is>
          <t>★★★★☆</t>
        </is>
      </c>
      <c r="T16" s="7" t="n">
        <v>6.5</v>
      </c>
      <c r="U16" s="7" t="n">
        <v>8.5</v>
      </c>
      <c r="V16" s="7" t="n">
        <v>7.5</v>
      </c>
      <c r="W16" s="7" t="n">
        <v>93.3</v>
      </c>
      <c r="X16" s="8" t="inlineStr">
        <is>
          <t>ROIC 83.9%、淨現金44億、自由現金流率15.7%，財務體質極強</t>
        </is>
      </c>
      <c r="Y16" s="10" t="n">
        <v>28.5</v>
      </c>
      <c r="Z16" s="10" t="n">
        <v>83.90000000000001</v>
      </c>
      <c r="AA16" s="10" t="n">
        <v>73.7</v>
      </c>
      <c r="AB16" s="10" t="n">
        <v>33.7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2026-09-18</t>
        </is>
      </c>
      <c r="AF16" s="8" t="inlineStr"/>
    </row>
    <row r="17">
      <c r="A17" s="7" t="inlineStr">
        <is>
          <t>HK</t>
        </is>
      </c>
      <c r="B17" s="7" t="inlineStr">
        <is>
          <t>09999</t>
        </is>
      </c>
      <c r="C17" s="8" t="inlineStr">
        <is>
          <t>网易</t>
        </is>
      </c>
      <c r="D17" s="9" t="n">
        <v>183.9</v>
      </c>
      <c r="E17" s="8" t="inlineStr"/>
      <c r="F17" s="7" t="inlineStr">
        <is>
          <t>mature</t>
        </is>
      </c>
      <c r="G17" s="7" t="inlineStr">
        <is>
          <t>HKD</t>
        </is>
      </c>
      <c r="H17" s="8" t="inlineStr"/>
      <c r="I17" s="9" t="n">
        <v>300.1408</v>
      </c>
      <c r="J17" s="9" t="n">
        <v>153.3883</v>
      </c>
      <c r="K17" s="9" t="n">
        <v>378.6999</v>
      </c>
      <c r="L17" s="10" t="n">
        <v>-38.7</v>
      </c>
      <c r="M17" s="10" t="n">
        <v>25</v>
      </c>
      <c r="N17" s="9" t="n">
        <v>225.1056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7</v>
      </c>
      <c r="U17" s="7" t="n">
        <v>8.5</v>
      </c>
      <c r="V17" s="7" t="n">
        <v>7</v>
      </c>
      <c r="W17" s="7" t="n">
        <v>84.8</v>
      </c>
      <c r="X17" s="8" t="inlineStr">
        <is>
          <t>淨現金充裕、自由現金流率逾42%，財務體質極穩健</t>
        </is>
      </c>
      <c r="Y17" s="10" t="n">
        <v>19.5</v>
      </c>
      <c r="Z17" s="10" t="n">
        <v>777.9</v>
      </c>
      <c r="AA17" s="10" t="n">
        <v>67.2</v>
      </c>
      <c r="AB17" s="10" t="n">
        <v>26.1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2026-09-18</t>
        </is>
      </c>
      <c r="AF17" s="8" t="inlineStr">
        <is>
          <t>報表幣別 CNY → 交易幣別 HKD，匯率 1.1641</t>
        </is>
      </c>
    </row>
    <row r="18">
      <c r="A18" s="7" t="inlineStr">
        <is>
          <t>CN</t>
        </is>
      </c>
      <c r="B18" s="7" t="inlineStr">
        <is>
          <t>300274</t>
        </is>
      </c>
      <c r="C18" s="8" t="inlineStr">
        <is>
          <t>阳光电源</t>
        </is>
      </c>
      <c r="D18" s="9" t="n">
        <v>86.59</v>
      </c>
      <c r="E18" s="8" t="inlineStr"/>
      <c r="F18" s="7" t="inlineStr">
        <is>
          <t>growth</t>
        </is>
      </c>
      <c r="G18" s="7" t="inlineStr">
        <is>
          <t>CNY</t>
        </is>
      </c>
      <c r="H18" s="8" t="inlineStr"/>
      <c r="I18" s="9" t="n">
        <v>126.3649</v>
      </c>
      <c r="J18" s="9" t="n">
        <v>67.4919</v>
      </c>
      <c r="K18" s="9" t="n">
        <v>166.782</v>
      </c>
      <c r="L18" s="10" t="n">
        <v>-31.5</v>
      </c>
      <c r="M18" s="10" t="n">
        <v>25</v>
      </c>
      <c r="N18" s="9" t="n">
        <v>94.7736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85.90000000000001</v>
      </c>
      <c r="X18" s="8" t="inlineStr">
        <is>
          <t>ROIC逾41%、淨現金充裕，連續十年獲利且現金流強勁</t>
        </is>
      </c>
      <c r="Y18" s="10" t="n">
        <v>21.7</v>
      </c>
      <c r="Z18" s="10" t="n">
        <v>41.1</v>
      </c>
      <c r="AA18" s="10" t="n">
        <v>32</v>
      </c>
      <c r="AB18" s="10" t="n">
        <v>58.2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2026-09-18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428.2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660.4447</v>
      </c>
      <c r="J19" s="9" t="n">
        <v>459.7747</v>
      </c>
      <c r="K19" s="9" t="n">
        <v>610.2885</v>
      </c>
      <c r="L19" s="10" t="n">
        <v>-35.2</v>
      </c>
      <c r="M19" s="10" t="n">
        <v>25</v>
      </c>
      <c r="N19" s="9" t="n">
        <v>495.3335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7.2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高毛利、ROE逾20%、自由現金流充沛的成熟平台企業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2026-09-18</t>
        </is>
      </c>
      <c r="AF19" s="8" t="inlineStr">
        <is>
          <t>報表幣別 CNY → 交易幣別 HKD，匯率 1.1641</t>
        </is>
      </c>
    </row>
    <row r="20">
      <c r="A20" s="7" t="inlineStr">
        <is>
          <t>HK</t>
        </is>
      </c>
      <c r="B20" s="7" t="inlineStr">
        <is>
          <t>00762</t>
        </is>
      </c>
      <c r="C20" s="8" t="inlineStr">
        <is>
          <t>中国联通</t>
        </is>
      </c>
      <c r="D20" s="9" t="n">
        <v>5.87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11.4411</v>
      </c>
      <c r="J20" s="9" t="n">
        <v>8.378399999999999</v>
      </c>
      <c r="K20" s="9" t="n">
        <v>12.385</v>
      </c>
      <c r="L20" s="10" t="n">
        <v>-48.7</v>
      </c>
      <c r="M20" s="10" t="n">
        <v>25</v>
      </c>
      <c r="N20" s="9" t="n">
        <v>8.5808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7.5</v>
      </c>
      <c r="U20" s="7" t="n">
        <v>6</v>
      </c>
      <c r="V20" s="7" t="n">
        <v>6.5</v>
      </c>
      <c r="W20" s="7" t="n">
        <v>93.7</v>
      </c>
      <c r="X20" s="8" t="inlineStr">
        <is>
          <t>連續十年獲利、淨現金穩健，惟ROE僅4.2%反映重資產低回報本質</t>
        </is>
      </c>
      <c r="Y20" s="10" t="n">
        <v>4.2</v>
      </c>
      <c r="Z20" s="10" t="n">
        <v>3.4</v>
      </c>
      <c r="AA20" s="10" t="n">
        <v>69</v>
      </c>
      <c r="AB20" s="10" t="n">
        <v>44.4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2026-09-18</t>
        </is>
      </c>
      <c r="AF20" s="8" t="inlineStr">
        <is>
          <t>報表幣別 CNY → 交易幣別 HKD，匯率 1.1641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83.95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113.1327</v>
      </c>
      <c r="J21" s="9" t="n">
        <v>55.5052</v>
      </c>
      <c r="K21" s="9" t="n">
        <v>108.9351</v>
      </c>
      <c r="L21" s="10" t="n">
        <v>-25.8</v>
      </c>
      <c r="M21" s="10" t="n">
        <v>25</v>
      </c>
      <c r="N21" s="9" t="n">
        <v>84.84950000000001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2026-09-18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49.6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84.1636</v>
      </c>
      <c r="J22" s="9" t="n">
        <v>83.2593</v>
      </c>
      <c r="K22" s="9" t="n">
        <v>106.0289</v>
      </c>
      <c r="L22" s="10" t="n">
        <v>-41.1</v>
      </c>
      <c r="M22" s="10" t="n">
        <v>25</v>
      </c>
      <c r="N22" s="9" t="n">
        <v>63.1227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2026-09-18</t>
        </is>
      </c>
      <c r="AF22" s="8" t="inlineStr">
        <is>
          <t>缺關鍵科目：d_and_a / 報表幣別 CNY → 交易幣別 HKD，匯率 1.1641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318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430.7332</v>
      </c>
      <c r="J23" s="9" t="n">
        <v>252.0972</v>
      </c>
      <c r="K23" s="9" t="n">
        <v>428.4491</v>
      </c>
      <c r="L23" s="10" t="n">
        <v>-26.2</v>
      </c>
      <c r="M23" s="10" t="n">
        <v>25</v>
      </c>
      <c r="N23" s="9" t="n">
        <v>323.0499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2026-09-18</t>
        </is>
      </c>
      <c r="AF23" s="8" t="inlineStr">
        <is>
          <t>報表幣別 CNY → 交易幣別 HKD，匯率 1.1641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268.515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480.806</v>
      </c>
      <c r="J24" s="9" t="n">
        <v>9.3416</v>
      </c>
      <c r="K24" s="9" t="n">
        <v>17.7685</v>
      </c>
      <c r="L24" s="10" t="n">
        <v>-44.2</v>
      </c>
      <c r="M24" s="10" t="n">
        <v>25</v>
      </c>
      <c r="N24" s="9" t="n">
        <v>360.6045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2026-09-18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1264.22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1186.8348</v>
      </c>
      <c r="J25" s="14" t="n">
        <v>838.7854</v>
      </c>
      <c r="K25" s="14" t="n">
        <v>2058.441</v>
      </c>
      <c r="L25" s="15" t="n">
        <v>6.5</v>
      </c>
      <c r="M25" s="15" t="n">
        <v>25</v>
      </c>
      <c r="N25" s="14" t="n">
        <v>890.1261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2026-09-18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84.40000000000001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107.2051</v>
      </c>
      <c r="J26" s="14" t="n">
        <v>69.1953</v>
      </c>
      <c r="K26" s="14" t="n">
        <v>136.1654</v>
      </c>
      <c r="L26" s="15" t="n">
        <v>-21.3</v>
      </c>
      <c r="M26" s="15" t="n">
        <v>25</v>
      </c>
      <c r="N26" s="14" t="n">
        <v>80.4038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2026-09-18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79.2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89.6084</v>
      </c>
      <c r="J27" s="14" t="n">
        <v>87.05289999999999</v>
      </c>
      <c r="K27" s="14" t="n">
        <v>92.48090000000001</v>
      </c>
      <c r="L27" s="15" t="n">
        <v>-11.6</v>
      </c>
      <c r="M27" s="15" t="n">
        <v>25</v>
      </c>
      <c r="N27" s="14" t="n">
        <v>67.2063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2026-09-18</t>
        </is>
      </c>
      <c r="AF27" s="13" t="inlineStr">
        <is>
          <t>報表幣別 CNY → 交易幣別 HKD，匯率 1.1641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157.05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200.3019</v>
      </c>
      <c r="J28" s="14" t="n">
        <v>116.6327</v>
      </c>
      <c r="K28" s="14" t="n">
        <v>176.872</v>
      </c>
      <c r="L28" s="15" t="n">
        <v>-21.6</v>
      </c>
      <c r="M28" s="15" t="n">
        <v>25</v>
      </c>
      <c r="N28" s="14" t="n">
        <v>150.2264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2026-09-18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11.5463</v>
      </c>
      <c r="J29" s="14" t="n">
        <v>5.7714</v>
      </c>
      <c r="K29" s="14" t="n">
        <v>14.7897</v>
      </c>
      <c r="L29" s="15" t="n">
        <v>-22</v>
      </c>
      <c r="M29" s="15" t="n">
        <v>25</v>
      </c>
      <c r="N29" s="14" t="n">
        <v>8.659700000000001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2026-09-18</t>
        </is>
      </c>
      <c r="AF29" s="13" t="inlineStr">
        <is>
          <t>報表幣別 CNY → 交易幣別 HKD，匯率 1.1641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26.36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28.7638</v>
      </c>
      <c r="J30" s="14" t="n">
        <v>18.8995</v>
      </c>
      <c r="K30" s="14" t="n">
        <v>26.4509</v>
      </c>
      <c r="L30" s="15" t="n">
        <v>-8.4</v>
      </c>
      <c r="M30" s="15" t="n">
        <v>25</v>
      </c>
      <c r="N30" s="14" t="n">
        <v>21.5728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2026-09-18</t>
        </is>
      </c>
      <c r="AF30" s="13" t="inlineStr">
        <is>
          <t>報表幣別 CNY → 交易幣別 HKD，匯率 1.1641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105.4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136.1735</v>
      </c>
      <c r="J31" s="14" t="n">
        <v>59.7871</v>
      </c>
      <c r="K31" s="14" t="n">
        <v>129.2551</v>
      </c>
      <c r="L31" s="15" t="n">
        <v>-22.6</v>
      </c>
      <c r="M31" s="15" t="n">
        <v>25</v>
      </c>
      <c r="N31" s="14" t="n">
        <v>102.1301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2026-09-18</t>
        </is>
      </c>
      <c r="AF31" s="13" t="inlineStr">
        <is>
          <t>報表幣別 CNY → 交易幣別 HKD，匯率 1.1641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35.44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31.6403</v>
      </c>
      <c r="J32" s="14" t="n">
        <v>16.8863</v>
      </c>
      <c r="K32" s="14" t="n">
        <v>19.8445</v>
      </c>
      <c r="L32" s="15" t="n">
        <v>12</v>
      </c>
      <c r="M32" s="15" t="n">
        <v>25</v>
      </c>
      <c r="N32" s="14" t="n">
        <v>23.7302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2026-09-18</t>
        </is>
      </c>
      <c r="AF32" s="13" t="inlineStr">
        <is>
          <t>報表幣別 USD → 交易幣別 HKD，匯率 7.8425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33.84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40.9415</v>
      </c>
      <c r="J33" s="14" t="n">
        <v>11.3883</v>
      </c>
      <c r="K33" s="14" t="n">
        <v>52.1359</v>
      </c>
      <c r="L33" s="15" t="n">
        <v>-17.3</v>
      </c>
      <c r="M33" s="15" t="n">
        <v>35</v>
      </c>
      <c r="N33" s="14" t="n">
        <v>26.612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82.09999999999999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2026-09-18</t>
        </is>
      </c>
      <c r="AF33" s="13" t="inlineStr">
        <is>
          <t>報表幣別 CNY → 交易幣別 HKD，匯率 1.1641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512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382.7242</v>
      </c>
      <c r="J35" s="19" t="n">
        <v>170.1393</v>
      </c>
      <c r="K35" s="19" t="n">
        <v>309.1843</v>
      </c>
      <c r="L35" s="20" t="n">
        <v>33.8</v>
      </c>
      <c r="M35" s="20" t="n">
        <v>25</v>
      </c>
      <c r="N35" s="19" t="n">
        <v>287.0431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2026-09-18</t>
        </is>
      </c>
      <c r="AF35" s="18" t="inlineStr">
        <is>
          <t>缺關鍵科目：d_and_a / 報表幣別 CNY → 交易幣別 HKD，匯率 1.1641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28.34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20.5694</v>
      </c>
      <c r="J36" s="19" t="n">
        <v>16.2467</v>
      </c>
      <c r="K36" s="19" t="n">
        <v>22.7622</v>
      </c>
      <c r="L36" s="20" t="n">
        <v>37.8</v>
      </c>
      <c r="M36" s="20" t="n">
        <v>25</v>
      </c>
      <c r="N36" s="19" t="n">
        <v>15.4271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2026-09-18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2.99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2.3155</v>
      </c>
      <c r="J37" s="19" t="n">
        <v>1.811</v>
      </c>
      <c r="K37" s="19" t="n">
        <v>3.9797</v>
      </c>
      <c r="L37" s="20" t="n">
        <v>29.1</v>
      </c>
      <c r="M37" s="20" t="n">
        <v>25</v>
      </c>
      <c r="N37" s="19" t="n">
        <v>1.7366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2026-09-18</t>
        </is>
      </c>
      <c r="AF37" s="18" t="inlineStr">
        <is>
          <t>缺關鍵科目：d_and_a / 報表幣別 CNY → 交易幣別 HKD，匯率 1.1641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29.46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23.0587</v>
      </c>
      <c r="J38" s="19" t="n">
        <v>8.570600000000001</v>
      </c>
      <c r="K38" s="19" t="n">
        <v>15.399</v>
      </c>
      <c r="L38" s="20" t="n">
        <v>27.8</v>
      </c>
      <c r="M38" s="20" t="n">
        <v>25</v>
      </c>
      <c r="N38" s="19" t="n">
        <v>17.294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2026-09-18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203.6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103.074</v>
      </c>
      <c r="J39" s="24" t="n">
        <v>66.3901</v>
      </c>
      <c r="K39" s="24" t="n">
        <v>111.8745</v>
      </c>
      <c r="L39" s="25" t="n">
        <v>97.5</v>
      </c>
      <c r="M39" s="25" t="n">
        <v>25</v>
      </c>
      <c r="N39" s="24" t="n">
        <v>77.30549999999999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2026-09-18</t>
        </is>
      </c>
      <c r="AF39" s="23" t="inlineStr">
        <is>
          <t>報表幣別 CNY → 交易幣別 HKD，匯率 1.1641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43.9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54.2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2026-09-18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161.6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92.5639</v>
      </c>
      <c r="J41" s="24" t="n">
        <v>50.5815</v>
      </c>
      <c r="K41" s="24" t="n">
        <v>147.3001</v>
      </c>
      <c r="L41" s="25" t="n">
        <v>74.59999999999999</v>
      </c>
      <c r="M41" s="25" t="n">
        <v>25</v>
      </c>
      <c r="N41" s="24" t="n">
        <v>69.4229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2026-09-18</t>
        </is>
      </c>
      <c r="AF41" s="23" t="inlineStr">
        <is>
          <t xml:space="preserve">行情總股本(17,158,978,473)與財報EPS反推(163,822,314,050)差異&gt;25%，已改用反推值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118.65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50.5516</v>
      </c>
      <c r="J42" s="24" t="n">
        <v>39.5892</v>
      </c>
      <c r="K42" s="24" t="n">
        <v>50.2832</v>
      </c>
      <c r="L42" s="25" t="n">
        <v>134.7</v>
      </c>
      <c r="M42" s="25" t="n">
        <v>25</v>
      </c>
      <c r="N42" s="24" t="n">
        <v>37.9137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2026-09-18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351.98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79.0112</v>
      </c>
      <c r="J43" s="24" t="n">
        <v>56.4053</v>
      </c>
      <c r="K43" s="24" t="n">
        <v>76.496</v>
      </c>
      <c r="L43" s="25" t="n">
        <v>345.5</v>
      </c>
      <c r="M43" s="25" t="n">
        <v>25</v>
      </c>
      <c r="N43" s="24" t="n">
        <v>59.2584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2026-09-18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391.4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149.7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2026-09-18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108.8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68.1626</v>
      </c>
      <c r="J46" s="24" t="n">
        <v>58.5967</v>
      </c>
      <c r="K46" s="24" t="n">
        <v>63.9216</v>
      </c>
      <c r="L46" s="25" t="n">
        <v>59.6</v>
      </c>
      <c r="M46" s="25" t="n">
        <v>25</v>
      </c>
      <c r="N46" s="24" t="n">
        <v>51.122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2026-09-18</t>
        </is>
      </c>
      <c r="AF46" s="23" t="inlineStr">
        <is>
          <t>報表幣別 CNY → 交易幣別 HKD，匯率 1.1641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21.24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12.211</v>
      </c>
      <c r="J47" s="24" t="n">
        <v>6.6238</v>
      </c>
      <c r="K47" s="24" t="n">
        <v>9.681699999999999</v>
      </c>
      <c r="L47" s="25" t="n">
        <v>73.90000000000001</v>
      </c>
      <c r="M47" s="25" t="n">
        <v>25</v>
      </c>
      <c r="N47" s="24" t="n">
        <v>9.158200000000001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2026-09-18</t>
        </is>
      </c>
      <c r="AF47" s="23" t="inlineStr">
        <is>
          <t>報表幣別 CNY → 交易幣別 HKD，匯率 1.1641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334.815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49.1605</v>
      </c>
      <c r="J48" s="24" t="n">
        <v>9.446</v>
      </c>
      <c r="K48" s="24" t="n">
        <v>34.7808</v>
      </c>
      <c r="L48" s="25" t="n">
        <v>581.1</v>
      </c>
      <c r="M48" s="25" t="n">
        <v>25</v>
      </c>
      <c r="N48" s="24" t="n">
        <v>36.8704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2026-09-18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493.811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504.6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2026-09-18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62.3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35.7591</v>
      </c>
      <c r="J51" s="24" t="n">
        <v>25.5464</v>
      </c>
      <c r="K51" s="24" t="n">
        <v>36.6864</v>
      </c>
      <c r="L51" s="25" t="n">
        <v>74.2</v>
      </c>
      <c r="M51" s="25" t="n">
        <v>25</v>
      </c>
      <c r="N51" s="24" t="n">
        <v>26.8193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289.59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2682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2026-09-18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350.165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2.0171</v>
      </c>
      <c r="K56" s="24" t="n">
        <v>15.3128</v>
      </c>
      <c r="L56" s="25" t="n">
        <v>457.1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2026-09-18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491.8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6.6804</v>
      </c>
      <c r="J62" s="24" t="n">
        <v>4.587</v>
      </c>
      <c r="K62" s="24" t="n">
        <v>8.4762</v>
      </c>
      <c r="L62" s="25" t="n">
        <v>7261.8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2026-09-18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63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6.9194</v>
      </c>
      <c r="J63" s="24" t="n">
        <v>3.7772</v>
      </c>
      <c r="K63" s="24" t="n">
        <v>10.4205</v>
      </c>
      <c r="L63" s="25" t="n">
        <v>810.5</v>
      </c>
      <c r="M63" s="25" t="n">
        <v>25</v>
      </c>
      <c r="N63" s="24" t="n">
        <v>5.1896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2026-09-18</t>
        </is>
      </c>
      <c r="AF63" s="23" t="inlineStr">
        <is>
          <t>報表幣別 USD → 交易幣別 HKD，匯率 7.8425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1.24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0.0963</v>
      </c>
      <c r="J64" s="24" t="n">
        <v>0.0892</v>
      </c>
      <c r="K64" s="24" t="n">
        <v>0.1246</v>
      </c>
      <c r="L64" s="25" t="n">
        <v>1187.6</v>
      </c>
      <c r="M64" s="25" t="n">
        <v>25</v>
      </c>
      <c r="N64" s="24" t="n">
        <v>0.0722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2026-09-18</t>
        </is>
      </c>
      <c r="AF64" s="23" t="inlineStr">
        <is>
          <t>報表幣別 CNY → 交易幣別 HKD，匯率 1.1641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73.8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13.9617</v>
      </c>
      <c r="J65" s="24" t="n">
        <v>4.7845</v>
      </c>
      <c r="K65" s="24" t="n">
        <v>58.1316</v>
      </c>
      <c r="L65" s="25" t="n">
        <v>428.6</v>
      </c>
      <c r="M65" s="25" t="n">
        <v>25</v>
      </c>
      <c r="N65" s="24" t="n">
        <v>10.4713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2026-09-18</t>
        </is>
      </c>
      <c r="AF65" s="23" t="inlineStr">
        <is>
          <t>報表幣別 CNY → 交易幣別 HKD，匯率 1.1641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5.57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158.04</v>
      </c>
      <c r="J67" s="29" t="n">
        <v>4.6428</v>
      </c>
      <c r="K67" s="29" t="n">
        <v>62.1445</v>
      </c>
      <c r="L67" s="30" t="n">
        <v>-96.5</v>
      </c>
      <c r="M67" s="30" t="n">
        <v>35</v>
      </c>
      <c r="N67" s="29" t="n">
        <v>102.726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2026-09-18</t>
        </is>
      </c>
      <c r="AF67" s="28" t="inlineStr">
        <is>
          <t>報表幣別 CNY → 交易幣別 HKD，匯率 1.1641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5.42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3.9168</v>
      </c>
      <c r="J68" s="29" t="n">
        <v>2.6453</v>
      </c>
      <c r="K68" s="29" t="n">
        <v>79.6524</v>
      </c>
      <c r="L68" s="30" t="n">
        <v>38.4</v>
      </c>
      <c r="M68" s="30" t="n">
        <v>25</v>
      </c>
      <c r="N68" s="29" t="n">
        <v>2.9376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0.173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2026-09-18</t>
        </is>
      </c>
      <c r="AF69" s="28" t="inlineStr">
        <is>
          <t>行情總股本(46,726,894,415)與財報EPS反推(27,175,000,000)差異&gt;25%，已改用反推值 / 缺關鍵科目：capex / 報表幣別 CNY → 交易幣別 HKD，匯率 1.1641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161.6</v>
      </c>
      <c r="D2" s="34" t="n">
        <v>92.5639</v>
      </c>
      <c r="E2" s="34" t="n">
        <v>44.8365</v>
      </c>
      <c r="F2" s="34" t="n">
        <v>212.4943</v>
      </c>
      <c r="G2" s="34" t="inlineStr"/>
      <c r="H2" s="34" t="n">
        <v>147.3001</v>
      </c>
      <c r="I2" s="34" t="inlineStr"/>
      <c r="J2" s="34" t="inlineStr"/>
      <c r="K2" s="34" t="n">
        <v>94.62820000000001</v>
      </c>
      <c r="L2" s="34" t="n">
        <v>50.5815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5.42</v>
      </c>
      <c r="D3" s="34" t="n">
        <v>3.9168</v>
      </c>
      <c r="E3" s="34" t="inlineStr"/>
      <c r="F3" s="34" t="inlineStr"/>
      <c r="G3" s="34" t="inlineStr"/>
      <c r="H3" s="34" t="n">
        <v>7.7314</v>
      </c>
      <c r="I3" s="34" t="n">
        <v>2.6453</v>
      </c>
      <c r="J3" s="34" t="inlineStr"/>
      <c r="K3" s="34" t="inlineStr"/>
      <c r="L3" s="34" t="n">
        <v>79.6524</v>
      </c>
      <c r="M3" s="34" t="n">
        <v>5.9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0.059, "淨現金": -63645000000.0}, "damodaran_fcff": {"銷售/資本": 0.8, "g1": 0.0373, "永續g": 0.03, "目標營業利益率": 0.1444, "WACC": 0.059,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1.24</v>
      </c>
      <c r="D4" s="34" t="n">
        <v>0.0963</v>
      </c>
      <c r="E4" s="34" t="inlineStr"/>
      <c r="F4" s="34" t="inlineStr"/>
      <c r="G4" s="34" t="n">
        <v>0.0892</v>
      </c>
      <c r="H4" s="34" t="inlineStr"/>
      <c r="I4" s="34" t="inlineStr"/>
      <c r="J4" s="34" t="inlineStr"/>
      <c r="K4" s="34" t="n">
        <v>0.1246</v>
      </c>
      <c r="L4" s="34" t="inlineStr"/>
      <c r="M4" s="34" t="n">
        <v>10.25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84.40000000000001</v>
      </c>
      <c r="D5" s="34" t="n">
        <v>107.2051</v>
      </c>
      <c r="E5" s="34" t="n">
        <v>58.438</v>
      </c>
      <c r="F5" s="34" t="n">
        <v>147.7494</v>
      </c>
      <c r="G5" s="34" t="n">
        <v>2.5941</v>
      </c>
      <c r="H5" s="34" t="n">
        <v>163.0545</v>
      </c>
      <c r="I5" s="34" t="n">
        <v>69.1953</v>
      </c>
      <c r="J5" s="34" t="n">
        <v>88.2736</v>
      </c>
      <c r="K5" s="34" t="n">
        <v>136.1654</v>
      </c>
      <c r="L5" s="34" t="n">
        <v>111.3681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27.9003}, "graham_formula": {"g(上限10%)": 0.081, "Y公司債": 0.04}, "ncav": {"NCAV/股": 2.5941, "NNWC/股": -33.0932, "net-net買點": 1.7303},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4.5318,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38.26</v>
      </c>
      <c r="D6" s="34" t="n">
        <v>142.5454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62.4004</v>
      </c>
      <c r="J6" s="34" t="n">
        <v>48.7478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29.46</v>
      </c>
      <c r="D7" s="34" t="n">
        <v>23.0587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10.0993</v>
      </c>
      <c r="J7" s="34" t="n">
        <v>8.2782</v>
      </c>
      <c r="K7" s="34" t="n">
        <v>8.570600000000001</v>
      </c>
      <c r="L7" s="34" t="n">
        <v>13.1089</v>
      </c>
      <c r="M7" s="34" t="n">
        <v>8.300000000000001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0.0831, "淨現金": -906634291.0}, "damodaran_fcff": {"銷售/資本": 1.113, "g1": 0.1305, "永續g": 0.021, "目標營業利益率": 0.0665, "WACC": 0.0831,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1.27</v>
      </c>
      <c r="D8" s="34" t="n">
        <v>3.8023</v>
      </c>
      <c r="E8" s="34" t="n">
        <v>2.8029</v>
      </c>
      <c r="F8" s="34" t="n">
        <v>3.9389</v>
      </c>
      <c r="G8" s="34" t="n">
        <v>0.4904</v>
      </c>
      <c r="H8" s="34" t="n">
        <v>7.9395</v>
      </c>
      <c r="I8" s="34" t="n">
        <v>2.3837</v>
      </c>
      <c r="J8" s="34" t="n">
        <v>2.2076</v>
      </c>
      <c r="K8" s="34" t="n">
        <v>1.2252</v>
      </c>
      <c r="L8" s="34" t="n">
        <v>2.9007</v>
      </c>
      <c r="M8" s="34" t="n">
        <v>8.619999999999999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0.0862, "淨現金": 2074648000.0}, "damodaran_fcff": {"銷售/資本": 2.507, "g1": 0.0038, "永續g": 0.03, "目標營業利益率": 0.0458, "WACC": 0.0862,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33.84</v>
      </c>
      <c r="D9" s="34" t="n">
        <v>40.9415</v>
      </c>
      <c r="E9" s="34" t="n">
        <v>39.2855</v>
      </c>
      <c r="F9" s="34" t="n">
        <v>52.1359</v>
      </c>
      <c r="G9" s="34" t="n">
        <v>4.011</v>
      </c>
      <c r="H9" s="34" t="inlineStr"/>
      <c r="I9" s="34" t="n">
        <v>21.4195</v>
      </c>
      <c r="J9" s="34" t="inlineStr"/>
      <c r="K9" s="34" t="n">
        <v>11.3883</v>
      </c>
      <c r="L9" s="34" t="n">
        <v>144.2784</v>
      </c>
      <c r="M9" s="34" t="n">
        <v>6.06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0.0606, "淨現金": -107039386000.0}, "damodaran_fcff": {"銷售/資本": 3.044, "g1": 0.0429, "永續g": 0.03, "目標營業利益率": 0.0217, "WACC": 0.0606,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4.495</v>
      </c>
      <c r="D10" s="34" t="n">
        <v>9.319599999999999</v>
      </c>
      <c r="E10" s="34" t="n">
        <v>9.2593</v>
      </c>
      <c r="F10" s="34" t="n">
        <v>3.141</v>
      </c>
      <c r="G10" s="34" t="inlineStr"/>
      <c r="H10" s="34" t="n">
        <v>24.366</v>
      </c>
      <c r="I10" s="34" t="n">
        <v>6.2319</v>
      </c>
      <c r="J10" s="34" t="n">
        <v>1.2861</v>
      </c>
      <c r="K10" s="34" t="n">
        <v>6.2714</v>
      </c>
      <c r="L10" s="34" t="n">
        <v>3.5349</v>
      </c>
      <c r="M10" s="34" t="n">
        <v>6.34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6.9599}, "graham_formula": {"g(上限10%)": -0.0059, "Y公司債": 0.056}, "ncav": {"NCAV/股": 0.0, "NNWC/股": -6.8152, "net-net買點": 0.0}, "buffett_oe": {"業主盈餘(TTM,中位3年)": 161475000000.0, "g1": -0.0073, "永續g": 0.03, "門檻報酬r": 0.0905, "非營運投資(折70%)": 180806500000.0}, "epv": {"常態營業利益率": 0.0234, "常態NOPAT": 52553004985.0, "WACC": 0.0634, "淨現金": -363061000000.0}, "damodaran_fcff": {"銷售/資本": 2.289, "g1": -0.05, "永續g": 0.03, "目標營業利益率": 0.0234, "WACC": 0.0634, "終值WACC": 0.0995, "有效稅率": 0.1864, "終值佔比": 0.426}, "ri_pb": {"常態ROE": 0.0716, "股權成本r": 0.0899, "留存成長g": 0.0089, "合理PB": 0.774}, "ddm": {"DPS": 0.2558,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391.4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428.2</v>
      </c>
      <c r="D12" s="34" t="n">
        <v>660.4447</v>
      </c>
      <c r="E12" s="34" t="n">
        <v>282.3672</v>
      </c>
      <c r="F12" s="34" t="n">
        <v>469.194</v>
      </c>
      <c r="G12" s="34" t="inlineStr"/>
      <c r="H12" s="34" t="n">
        <v>685.5881000000001</v>
      </c>
      <c r="I12" s="34" t="n">
        <v>369.7895</v>
      </c>
      <c r="J12" s="34" t="n">
        <v>459.7747</v>
      </c>
      <c r="K12" s="34" t="n">
        <v>3854.4054</v>
      </c>
      <c r="L12" s="34" t="n">
        <v>610.2885</v>
      </c>
      <c r="M12" s="34" t="n">
        <v>9.15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124.8864}, "graham_formula": {"g(上限10%)": 0.08, "Y公司債": 0.056}, "ncav": {"NCAV/股": 0.0, "NNWC/股": -47.9303, "net-net買點": 0.0}, "buffett_oe": {"業主盈餘(TTM,中位3年)": 202308000000.0, "g1": 0.1058, "永續g": 0.03, "門檻報酬r": 0.0905, "非營運投資(折70%)": 642665100000.0}, "epv": {"常態營業利益率": 0.3189, "常態NOPAT": 206641814252.0, "WACC": 0.0915, "淨現金": -12924000000.0}, "damodaran_fcff": {"銷售/資本": 0.8, "g1": 0.1076, "永續g": 0.03, "目標營業利益率": 0.3189, "WACC": 0.0915,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5.87</v>
      </c>
      <c r="D13" s="34" t="n">
        <v>11.4411</v>
      </c>
      <c r="E13" s="34" t="n">
        <v>15.7849</v>
      </c>
      <c r="F13" s="34" t="n">
        <v>17.4655</v>
      </c>
      <c r="G13" s="34" t="inlineStr"/>
      <c r="H13" s="34" t="n">
        <v>12.385</v>
      </c>
      <c r="I13" s="34" t="n">
        <v>11.4817</v>
      </c>
      <c r="J13" s="34" t="n">
        <v>8.378399999999999</v>
      </c>
      <c r="K13" s="34" t="n">
        <v>5.9237</v>
      </c>
      <c r="L13" s="34" t="n">
        <v>6.23</v>
      </c>
      <c r="M13" s="34" t="n">
        <v>7.5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0.075, "淨現金": 30851000000.0}, "damodaran_fcff": {"銷售/資本": 1.149, "g1": 0.0339, "永續g": 0.03, "目標營業利益率": 0.0496, "WACC": 0.075,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11.5463</v>
      </c>
      <c r="E14" s="34" t="n">
        <v>14.7897</v>
      </c>
      <c r="F14" s="34" t="n">
        <v>16.0005</v>
      </c>
      <c r="G14" s="34" t="inlineStr"/>
      <c r="H14" s="34" t="n">
        <v>24.6392</v>
      </c>
      <c r="I14" s="34" t="n">
        <v>5.7714</v>
      </c>
      <c r="J14" s="34" t="n">
        <v>2.1406</v>
      </c>
      <c r="K14" s="34" t="n">
        <v>4.1428</v>
      </c>
      <c r="L14" s="34" t="n">
        <v>8.955399999999999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9.57</v>
      </c>
      <c r="D16" s="34" t="n">
        <v>23.0098</v>
      </c>
      <c r="E16" s="34" t="n">
        <v>15.4965</v>
      </c>
      <c r="F16" s="34" t="n">
        <v>22.9398</v>
      </c>
      <c r="G16" s="34" t="inlineStr"/>
      <c r="H16" s="34" t="n">
        <v>51.231</v>
      </c>
      <c r="I16" s="34" t="n">
        <v>14.8901</v>
      </c>
      <c r="J16" s="34" t="n">
        <v>9.9687</v>
      </c>
      <c r="K16" s="34" t="n">
        <v>5.2489</v>
      </c>
      <c r="L16" s="34" t="n">
        <v>15.5519</v>
      </c>
      <c r="M16" s="34" t="n">
        <v>7.77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0.0777, "淨現金": -114814000000.0}, "damodaran_fcff": {"銷售/資本": 1.678, "g1": -0.0401, "永續g": 0.03, "目標營業利益率": 0.0765, "WACC": 0.0777,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71.7461</v>
      </c>
      <c r="E17" s="34" t="n">
        <v>37.787</v>
      </c>
      <c r="F17" s="34" t="n">
        <v>67.77670000000001</v>
      </c>
      <c r="G17" s="34" t="n">
        <v>1.2213</v>
      </c>
      <c r="H17" s="34" t="n">
        <v>143.8576</v>
      </c>
      <c r="I17" s="34" t="n">
        <v>41.798</v>
      </c>
      <c r="J17" s="34" t="n">
        <v>41.3411</v>
      </c>
      <c r="K17" s="34" t="n">
        <v>64.7799</v>
      </c>
      <c r="L17" s="34" t="n">
        <v>161.2592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</v>
      </c>
      <c r="D18" s="34" t="n">
        <v>130.7854</v>
      </c>
      <c r="E18" s="34" t="n">
        <v>7.349</v>
      </c>
      <c r="F18" s="34" t="n">
        <v>20.1692</v>
      </c>
      <c r="G18" s="34" t="inlineStr"/>
      <c r="H18" s="34" t="n">
        <v>7.1079</v>
      </c>
      <c r="I18" s="34" t="inlineStr"/>
      <c r="J18" s="34" t="inlineStr"/>
      <c r="K18" s="34" t="n">
        <v>285.0491</v>
      </c>
      <c r="L18" s="34" t="n">
        <v>1.063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4" t="n">
        <v>89.6084</v>
      </c>
      <c r="E19" s="34" t="n">
        <v>114.0363</v>
      </c>
      <c r="F19" s="34" t="n">
        <v>93.49769999999999</v>
      </c>
      <c r="G19" s="34" t="inlineStr"/>
      <c r="H19" s="34" t="n">
        <v>92.48090000000001</v>
      </c>
      <c r="I19" s="34" t="n">
        <v>87.05289999999999</v>
      </c>
      <c r="J19" s="34" t="n">
        <v>77.8374</v>
      </c>
      <c r="K19" s="34" t="n">
        <v>91.19410000000001</v>
      </c>
      <c r="L19" s="34" t="n">
        <v>84.3235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5.57</v>
      </c>
      <c r="D20" s="34" t="n">
        <v>158.04</v>
      </c>
      <c r="E20" s="34" t="n">
        <v>33.4828</v>
      </c>
      <c r="F20" s="34" t="n">
        <v>12.284</v>
      </c>
      <c r="G20" s="34" t="inlineStr"/>
      <c r="H20" s="34" t="n">
        <v>62.1445</v>
      </c>
      <c r="I20" s="34" t="n">
        <v>4.6428</v>
      </c>
      <c r="J20" s="34" t="inlineStr"/>
      <c r="K20" s="34" t="n">
        <v>436.0835</v>
      </c>
      <c r="L20" s="34" t="n">
        <v>1.1169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</v>
      </c>
      <c r="D21" s="34" t="n">
        <v>6.9194</v>
      </c>
      <c r="E21" s="34" t="n">
        <v>19.1265</v>
      </c>
      <c r="F21" s="34" t="n">
        <v>4.7139</v>
      </c>
      <c r="G21" s="34" t="inlineStr"/>
      <c r="H21" s="34" t="inlineStr"/>
      <c r="I21" s="34" t="n">
        <v>10.4205</v>
      </c>
      <c r="J21" s="34" t="n">
        <v>0.4893</v>
      </c>
      <c r="K21" s="34" t="n">
        <v>3.7772</v>
      </c>
      <c r="L21" s="34" t="inlineStr"/>
      <c r="M21" s="34" t="n">
        <v>11.36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0.1136, "淨現金": -1228240000.0}, "damodaran_fcff": {"銷售/資本": 0.8, "g1": 0.0864, "永續g": 0.03, "目標營業利益率": 0.119, "WACC": 0.1136,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35.44</v>
      </c>
      <c r="D22" s="34" t="n">
        <v>31.6403</v>
      </c>
      <c r="E22" s="34" t="n">
        <v>9.532</v>
      </c>
      <c r="F22" s="34" t="n">
        <v>19.8445</v>
      </c>
      <c r="G22" s="34" t="inlineStr"/>
      <c r="H22" s="34" t="n">
        <v>74.4907</v>
      </c>
      <c r="I22" s="34" t="n">
        <v>16.8863</v>
      </c>
      <c r="J22" s="34" t="n">
        <v>19.3574</v>
      </c>
      <c r="K22" s="34" t="n">
        <v>11.4681</v>
      </c>
      <c r="L22" s="34" t="n">
        <v>31.9125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</v>
      </c>
      <c r="D23" s="34" t="n">
        <v>98.4873</v>
      </c>
      <c r="E23" s="34" t="n">
        <v>5.5194</v>
      </c>
      <c r="F23" s="34" t="n">
        <v>13.1093</v>
      </c>
      <c r="G23" s="34" t="inlineStr"/>
      <c r="H23" s="34" t="n">
        <v>6.754</v>
      </c>
      <c r="I23" s="34" t="inlineStr"/>
      <c r="J23" s="34" t="inlineStr"/>
      <c r="K23" s="34" t="n">
        <v>214.9318</v>
      </c>
      <c r="L23" s="34" t="n">
        <v>0.9467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26.36</v>
      </c>
      <c r="D24" s="34" t="n">
        <v>28.7638</v>
      </c>
      <c r="E24" s="34" t="n">
        <v>17.415</v>
      </c>
      <c r="F24" s="34" t="n">
        <v>24.7646</v>
      </c>
      <c r="G24" s="34" t="n">
        <v>1.4259</v>
      </c>
      <c r="H24" s="34" t="n">
        <v>32.0306</v>
      </c>
      <c r="I24" s="34" t="n">
        <v>21.3471</v>
      </c>
      <c r="J24" s="34" t="n">
        <v>26.4509</v>
      </c>
      <c r="K24" s="34" t="n">
        <v>94.20659999999999</v>
      </c>
      <c r="L24" s="34" t="n">
        <v>18.8995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10.4699}, "graham_formula": {"g(上限10%)": 0.1, "Y公司債": 0.056}, "ncav": {"NCAV/股": 1.2249, "NNWC/股": -2.6098,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2.99</v>
      </c>
      <c r="D25" s="34" t="n">
        <v>2.3155</v>
      </c>
      <c r="E25" s="34" t="n">
        <v>3.9797</v>
      </c>
      <c r="F25" s="34" t="n">
        <v>1.811</v>
      </c>
      <c r="G25" s="34" t="inlineStr"/>
      <c r="H25" s="34" t="n">
        <v>1.979</v>
      </c>
      <c r="I25" s="34" t="n">
        <v>1.2079</v>
      </c>
      <c r="J25" s="34" t="inlineStr"/>
      <c r="K25" s="34" t="n">
        <v>3.3663</v>
      </c>
      <c r="L25" s="34" t="n">
        <v>4.9903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53.2</v>
      </c>
      <c r="D27" s="34" t="n">
        <v>699.6943</v>
      </c>
      <c r="E27" s="34" t="n">
        <v>41.5097</v>
      </c>
      <c r="F27" s="34" t="n">
        <v>55.6666</v>
      </c>
      <c r="G27" s="34" t="inlineStr"/>
      <c r="H27" s="34" t="n">
        <v>136.5623</v>
      </c>
      <c r="I27" s="34" t="n">
        <v>65.40000000000001</v>
      </c>
      <c r="J27" s="34" t="inlineStr"/>
      <c r="K27" s="34" t="n">
        <v>1663.888</v>
      </c>
      <c r="L27" s="34" t="n">
        <v>44.8893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203.6</v>
      </c>
      <c r="D28" s="34" t="n">
        <v>103.074</v>
      </c>
      <c r="E28" s="34" t="n">
        <v>55.4002</v>
      </c>
      <c r="F28" s="34" t="n">
        <v>94.8874</v>
      </c>
      <c r="G28" s="34" t="n">
        <v>15.7487</v>
      </c>
      <c r="H28" s="34" t="n">
        <v>111.8745</v>
      </c>
      <c r="I28" s="34" t="n">
        <v>66.3901</v>
      </c>
      <c r="J28" s="34" t="n">
        <v>79.1014</v>
      </c>
      <c r="K28" s="34" t="n">
        <v>468.6399</v>
      </c>
      <c r="L28" s="34" t="n">
        <v>241.8617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27.653}, "graham_formula": {"g(上限10%)": 0.1, "Y公司債": 0.056}, "ncav": {"NCAV/股": 13.5285, "NNWC/股": 9.3385, "net-net買點": 9.0235},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1.907,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3.305</v>
      </c>
      <c r="D29" s="34" t="n">
        <v>13.2428</v>
      </c>
      <c r="E29" s="34" t="n">
        <v>4.9089</v>
      </c>
      <c r="F29" s="34" t="n">
        <v>10.8495</v>
      </c>
      <c r="G29" s="34" t="n">
        <v>1.9561</v>
      </c>
      <c r="H29" s="34" t="n">
        <v>6.861</v>
      </c>
      <c r="I29" s="34" t="n">
        <v>7.7543</v>
      </c>
      <c r="J29" s="34" t="n">
        <v>11.2318</v>
      </c>
      <c r="K29" s="34" t="n">
        <v>102.7244</v>
      </c>
      <c r="L29" s="34" t="n">
        <v>22.8875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</v>
      </c>
      <c r="D30" s="34" t="n">
        <v>84.1636</v>
      </c>
      <c r="E30" s="34" t="n">
        <v>83.2593</v>
      </c>
      <c r="F30" s="34" t="n">
        <v>41.5944</v>
      </c>
      <c r="G30" s="34" t="inlineStr"/>
      <c r="H30" s="34" t="n">
        <v>55.5251</v>
      </c>
      <c r="I30" s="34" t="n">
        <v>114.0826</v>
      </c>
      <c r="J30" s="34" t="n">
        <v>84.395</v>
      </c>
      <c r="K30" s="34" t="n">
        <v>165.9242</v>
      </c>
      <c r="L30" s="34" t="n">
        <v>106.0289</v>
      </c>
      <c r="M30" s="34" t="n">
        <v>7.12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0.0711, "淨現金": -10879000000.0}, "damodaran_fcff": {"銷售/資本": 1.92, "g1": 0.0056, "永續g": 0.03, "目標營業利益率": 0.0881, "WACC": 0.0711,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</v>
      </c>
      <c r="D31" s="34" t="n">
        <v>13.9617</v>
      </c>
      <c r="E31" s="34" t="n">
        <v>43.1633</v>
      </c>
      <c r="F31" s="34" t="n">
        <v>58.1316</v>
      </c>
      <c r="G31" s="34" t="n">
        <v>2.141</v>
      </c>
      <c r="H31" s="34" t="n">
        <v>126.8818</v>
      </c>
      <c r="I31" s="34" t="inlineStr"/>
      <c r="J31" s="34" t="inlineStr"/>
      <c r="K31" s="34" t="n">
        <v>4.7845</v>
      </c>
      <c r="L31" s="34" t="inlineStr"/>
      <c r="M31" s="34" t="n">
        <v>12.14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512</v>
      </c>
      <c r="D32" s="34" t="n">
        <v>382.7242</v>
      </c>
      <c r="E32" s="34" t="n">
        <v>170.1393</v>
      </c>
      <c r="F32" s="34" t="n">
        <v>153.5815</v>
      </c>
      <c r="G32" s="34" t="n">
        <v>8.5421</v>
      </c>
      <c r="H32" s="34" t="n">
        <v>309.1843</v>
      </c>
      <c r="I32" s="34" t="n">
        <v>214.8692</v>
      </c>
      <c r="J32" s="34" t="n">
        <v>266.609</v>
      </c>
      <c r="K32" s="34" t="n">
        <v>2201.5687</v>
      </c>
      <c r="L32" s="34" t="n">
        <v>1178.7712</v>
      </c>
      <c r="M32" s="34" t="n">
        <v>9.25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81.9828}, "graham_formula": {"g(上限10%)": 0.03, "Y公司債": 0.056}, "ncav": {"NCAV/股": 7.3379, "NNWC/股": -39.377, "net-net買點": 4.8943}, "buffett_oe": {"業主盈餘(TTM,中位3年)": 65810402000.0, "g1": 0.05, "永續g": 0.03, "門檻報酬r": 0.0905, "非營運投資(折70%)": 10748265500.0}, "epv": {"常態營業利益率": 0.1491, "常態NOPAT": 66831915950.0, "WACC": 0.0925, "淨現金": 120569062000.0}, "damodaran_fcff": {"銷售/資本": 2.016, "g1": 0.0884, "永續g": 0.03, "目標營業利益率": 0.1491, "WACC": 0.0925, "終值WACC": 0.0995, "有效稅率": 0.1411, "終值佔比": 0.53},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51.4</v>
      </c>
      <c r="D33" s="34" t="n">
        <v>588.5381</v>
      </c>
      <c r="E33" s="34" t="n">
        <v>32.241</v>
      </c>
      <c r="F33" s="34" t="n">
        <v>132.0587</v>
      </c>
      <c r="G33" s="34" t="inlineStr"/>
      <c r="H33" s="34" t="n">
        <v>35.6984</v>
      </c>
      <c r="I33" s="34" t="inlineStr"/>
      <c r="J33" s="34" t="inlineStr"/>
      <c r="K33" s="34" t="n">
        <v>1269.8085</v>
      </c>
      <c r="L33" s="34" t="n">
        <v>9.669600000000001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4.11</v>
      </c>
      <c r="D34" s="34" t="n">
        <v>8.303599999999999</v>
      </c>
      <c r="E34" s="34" t="n">
        <v>3.8731</v>
      </c>
      <c r="F34" s="34" t="n">
        <v>8.2323</v>
      </c>
      <c r="G34" s="34" t="n">
        <v>1.0822</v>
      </c>
      <c r="H34" s="34" t="n">
        <v>14.7347</v>
      </c>
      <c r="I34" s="34" t="n">
        <v>4.4232</v>
      </c>
      <c r="J34" s="34" t="n">
        <v>7.0639</v>
      </c>
      <c r="K34" s="34" t="n">
        <v>3.6595</v>
      </c>
      <c r="L34" s="34" t="n">
        <v>6.6701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1.5579},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21.24</v>
      </c>
      <c r="D35" s="34" t="n">
        <v>12.211</v>
      </c>
      <c r="E35" s="34" t="n">
        <v>14.9173</v>
      </c>
      <c r="F35" s="34" t="n">
        <v>9.681699999999999</v>
      </c>
      <c r="G35" s="34" t="inlineStr"/>
      <c r="H35" s="34" t="n">
        <v>23.633</v>
      </c>
      <c r="I35" s="34" t="n">
        <v>8.048299999999999</v>
      </c>
      <c r="J35" s="34" t="n">
        <v>6.6238</v>
      </c>
      <c r="K35" s="34" t="n">
        <v>6.5099</v>
      </c>
      <c r="L35" s="34" t="n">
        <v>6.201</v>
      </c>
      <c r="M35" s="34" t="n">
        <v>10.13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0.1013, "淨現金": -3912000000.0}, "damodaran_fcff": {"銷售/資本": 1.24, "g1": 0.15, "永續g": 0.03, "目標營業利益率": 0.0675, "WACC": 0.1013,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105.4</v>
      </c>
      <c r="D36" s="34" t="n">
        <v>136.1735</v>
      </c>
      <c r="E36" s="34" t="n">
        <v>135.02</v>
      </c>
      <c r="F36" s="34" t="n">
        <v>59.7871</v>
      </c>
      <c r="G36" s="34" t="inlineStr"/>
      <c r="H36" s="34" t="n">
        <v>245.8763</v>
      </c>
      <c r="I36" s="34" t="n">
        <v>129.2551</v>
      </c>
      <c r="J36" s="34" t="n">
        <v>98.4562</v>
      </c>
      <c r="K36" s="34" t="n">
        <v>54.4545</v>
      </c>
      <c r="L36" s="34" t="n">
        <v>55.116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318</v>
      </c>
      <c r="D37" s="34" t="n">
        <v>430.7332</v>
      </c>
      <c r="E37" s="34" t="n">
        <v>428.4491</v>
      </c>
      <c r="F37" s="34" t="n">
        <v>680.3741</v>
      </c>
      <c r="G37" s="34" t="n">
        <v>43.5946</v>
      </c>
      <c r="H37" s="34" t="n">
        <v>572.925</v>
      </c>
      <c r="I37" s="34" t="n">
        <v>321.5235</v>
      </c>
      <c r="J37" s="34" t="n">
        <v>427.3065</v>
      </c>
      <c r="K37" s="34" t="n">
        <v>40.2781</v>
      </c>
      <c r="L37" s="34" t="n">
        <v>252.0972</v>
      </c>
      <c r="M37" s="34" t="n">
        <v>9.050000000000001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0.0905, "淨現金": 49645000000.0}, "damodaran_fcff": {"銷售/資本": 0.8, "g1": 0.15, "永續g": 0.03, "目標營業利益率": 0.2756, "WACC": 0.0905,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108.8</v>
      </c>
      <c r="D38" s="34" t="n">
        <v>68.1626</v>
      </c>
      <c r="E38" s="34" t="n">
        <v>96.09999999999999</v>
      </c>
      <c r="F38" s="34" t="n">
        <v>44.3156</v>
      </c>
      <c r="G38" s="34" t="inlineStr"/>
      <c r="H38" s="34" t="n">
        <v>85.75449999999999</v>
      </c>
      <c r="I38" s="34" t="n">
        <v>63.9216</v>
      </c>
      <c r="J38" s="34" t="n">
        <v>61.5676</v>
      </c>
      <c r="K38" s="34" t="n">
        <v>58.5967</v>
      </c>
      <c r="L38" s="34" t="n">
        <v>33.7265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183.9</v>
      </c>
      <c r="D39" s="34" t="n">
        <v>300.1408</v>
      </c>
      <c r="E39" s="34" t="n">
        <v>121.3865</v>
      </c>
      <c r="F39" s="34" t="n">
        <v>241.9108</v>
      </c>
      <c r="G39" s="34" t="n">
        <v>47.6774</v>
      </c>
      <c r="H39" s="34" t="n">
        <v>378.6999</v>
      </c>
      <c r="I39" s="34" t="n">
        <v>153.3883</v>
      </c>
      <c r="J39" s="34" t="n">
        <v>184.6557</v>
      </c>
      <c r="K39" s="34" t="n">
        <v>1407.6936</v>
      </c>
      <c r="L39" s="34" t="n">
        <v>531.7975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86.59</v>
      </c>
      <c r="D40" s="34" t="n">
        <v>126.3649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67.4919</v>
      </c>
      <c r="J40" s="34" t="n">
        <v>108.1083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157.05</v>
      </c>
      <c r="D41" s="34" t="n">
        <v>200.3019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116.6327</v>
      </c>
      <c r="J41" s="34" t="n">
        <v>134.559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43.9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118.65</v>
      </c>
      <c r="D43" s="34" t="n">
        <v>50.5516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46.6178</v>
      </c>
      <c r="J43" s="34" t="n">
        <v>50.2373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1264.22</v>
      </c>
      <c r="D44" s="34" t="n">
        <v>1186.8348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838.7854</v>
      </c>
      <c r="J44" s="34" t="n">
        <v>1283.6283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28.34</v>
      </c>
      <c r="D45" s="34" t="n">
        <v>20.5694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15.6093</v>
      </c>
      <c r="J45" s="34" t="n">
        <v>12.7746</v>
      </c>
      <c r="K45" s="34" t="n">
        <v>22.7622</v>
      </c>
      <c r="L45" s="34" t="n">
        <v>25.8636</v>
      </c>
      <c r="M45" s="34" t="n">
        <v>5.63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62.3</v>
      </c>
      <c r="D46" s="34" t="n">
        <v>35.7591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25.5464</v>
      </c>
      <c r="J46" s="34" t="n">
        <v>36.6864</v>
      </c>
      <c r="K46" s="34" t="n">
        <v>164.8877</v>
      </c>
      <c r="L46" s="34" t="n">
        <v>130.8639</v>
      </c>
      <c r="M46" s="34" t="n">
        <v>8.369999999999999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0.0837, "淨現金": -7517740000.0}, "damodaran_fcff": {"銷售/資本": 4.0, "g1": 0.15, "永續g": 0.021, "目標營業利益率": 0.0455, "WACC": 0.0837,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55.95</v>
      </c>
      <c r="D47" s="34" t="n">
        <v>100.945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56.4725</v>
      </c>
      <c r="J47" s="34" t="n">
        <v>92.61620000000001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83.95</v>
      </c>
      <c r="D48" s="34" t="n">
        <v>113.1327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61.0537</v>
      </c>
      <c r="J48" s="34" t="n">
        <v>108.9351</v>
      </c>
      <c r="K48" s="34" t="n">
        <v>698.9493</v>
      </c>
      <c r="L48" s="34" t="n">
        <v>323.4171</v>
      </c>
      <c r="M48" s="34" t="n">
        <v>8.73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0.0873, "淨現金": 4017127052.0}, "damodaran_fcff": {"銷售/資本": 2.32, "g1": 0.15, "永續g": 0.021, "目標營業利益率": 0.2949, "WACC": 0.0873,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351.98</v>
      </c>
      <c r="D49" s="34" t="n">
        <v>79.0112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72.8496</v>
      </c>
      <c r="J49" s="34" t="n">
        <v>119.6874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289.59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491.8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334.815</v>
      </c>
      <c r="D52" s="34" t="n">
        <v>49.1605</v>
      </c>
      <c r="E52" s="34" t="n">
        <v>9.446</v>
      </c>
      <c r="F52" s="34" t="n">
        <v>34.7808</v>
      </c>
      <c r="G52" s="34" t="inlineStr"/>
      <c r="H52" s="34" t="inlineStr"/>
      <c r="I52" s="34" t="n">
        <v>8.8994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508.34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7.32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350.165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268.515</v>
      </c>
      <c r="D58" s="34" t="n">
        <v>480.806</v>
      </c>
      <c r="E58" s="34" t="n">
        <v>9.3416</v>
      </c>
      <c r="F58" s="34" t="n">
        <v>1.4037</v>
      </c>
      <c r="G58" s="34" t="inlineStr"/>
      <c r="H58" s="34" t="inlineStr"/>
      <c r="I58" s="34" t="n">
        <v>15.4533</v>
      </c>
      <c r="J58" s="34" t="n">
        <v>17.7685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493.811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161.6</v>
      </c>
      <c r="D2" s="22" t="inlineStr">
        <is>
          <t>HKD</t>
        </is>
      </c>
      <c r="E2" s="24" t="n">
        <v>46.2819</v>
      </c>
      <c r="F2" s="24" t="n">
        <v>69.4229</v>
      </c>
      <c r="G2" s="24" t="n">
        <v>106.4485</v>
      </c>
      <c r="H2" s="24" t="n">
        <v>138.8458</v>
      </c>
      <c r="I2" s="24" t="n">
        <v>138.8458</v>
      </c>
      <c r="J2" s="26" t="inlineStr">
        <is>
          <t>非常昂貴</t>
        </is>
      </c>
      <c r="K2" s="24" t="n">
        <v>1.7458</v>
      </c>
      <c r="L2" s="24" t="n">
        <v>69.4229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5.42</v>
      </c>
      <c r="D3" s="27" t="inlineStr">
        <is>
          <t>HKD</t>
        </is>
      </c>
      <c r="E3" s="29" t="n">
        <v>1.9584</v>
      </c>
      <c r="F3" s="29" t="n">
        <v>2.9376</v>
      </c>
      <c r="G3" s="29" t="n">
        <v>4.5044</v>
      </c>
      <c r="H3" s="29" t="n">
        <v>5.8753</v>
      </c>
      <c r="I3" s="29" t="n">
        <v>5.8753</v>
      </c>
      <c r="J3" s="31" t="inlineStr">
        <is>
          <t>無法估值</t>
        </is>
      </c>
      <c r="K3" s="29" t="n">
        <v>1.3838</v>
      </c>
      <c r="L3" s="29" t="n">
        <v>2.9376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1.24</v>
      </c>
      <c r="D4" s="22" t="inlineStr">
        <is>
          <t>HKD</t>
        </is>
      </c>
      <c r="E4" s="24" t="n">
        <v>0.0481</v>
      </c>
      <c r="F4" s="24" t="n">
        <v>0.0722</v>
      </c>
      <c r="G4" s="24" t="n">
        <v>0.1107</v>
      </c>
      <c r="H4" s="24" t="n">
        <v>0.1444</v>
      </c>
      <c r="I4" s="24" t="n">
        <v>0.1444</v>
      </c>
      <c r="J4" s="26" t="inlineStr">
        <is>
          <t>非常昂貴</t>
        </is>
      </c>
      <c r="K4" s="24" t="n">
        <v>12.8812</v>
      </c>
      <c r="L4" s="24" t="n">
        <v>0.0722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84.40000000000001</v>
      </c>
      <c r="D5" s="12" t="inlineStr">
        <is>
          <t>CNY</t>
        </is>
      </c>
      <c r="E5" s="14" t="n">
        <v>53.6025</v>
      </c>
      <c r="F5" s="14" t="n">
        <v>80.4038</v>
      </c>
      <c r="G5" s="14" t="n">
        <v>123.2859</v>
      </c>
      <c r="H5" s="14" t="n">
        <v>160.8076</v>
      </c>
      <c r="I5" s="14" t="n">
        <v>160.8076</v>
      </c>
      <c r="J5" s="16" t="inlineStr">
        <is>
          <t>合理</t>
        </is>
      </c>
      <c r="K5" s="14" t="n">
        <v>0.7873</v>
      </c>
      <c r="L5" s="14" t="n">
        <v>80.4038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38.26</v>
      </c>
      <c r="D6" s="2" t="inlineStr">
        <is>
          <t>CNY</t>
        </is>
      </c>
      <c r="E6" s="4" t="n">
        <v>71.2727</v>
      </c>
      <c r="F6" s="4" t="n">
        <v>106.9091</v>
      </c>
      <c r="G6" s="4" t="n">
        <v>163.9272</v>
      </c>
      <c r="H6" s="4" t="n">
        <v>213.8181</v>
      </c>
      <c r="I6" s="4" t="n">
        <v>213.8181</v>
      </c>
      <c r="J6" s="6" t="inlineStr">
        <is>
          <t>非常便宜</t>
        </is>
      </c>
      <c r="K6" s="4" t="n">
        <v>0.2684</v>
      </c>
      <c r="L6" s="4" t="n">
        <v>106.9091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29.46</v>
      </c>
      <c r="D7" s="17" t="inlineStr">
        <is>
          <t>CNY</t>
        </is>
      </c>
      <c r="E7" s="19" t="n">
        <v>11.5293</v>
      </c>
      <c r="F7" s="19" t="n">
        <v>17.294</v>
      </c>
      <c r="G7" s="19" t="n">
        <v>26.5175</v>
      </c>
      <c r="H7" s="19" t="n">
        <v>34.588</v>
      </c>
      <c r="I7" s="19" t="n">
        <v>34.588</v>
      </c>
      <c r="J7" s="21" t="inlineStr">
        <is>
          <t>昂貴</t>
        </is>
      </c>
      <c r="K7" s="19" t="n">
        <v>1.2776</v>
      </c>
      <c r="L7" s="19" t="n">
        <v>17.294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1.27</v>
      </c>
      <c r="D8" s="2" t="inlineStr">
        <is>
          <t>HKD</t>
        </is>
      </c>
      <c r="E8" s="4" t="n">
        <v>1.9012</v>
      </c>
      <c r="F8" s="4" t="n">
        <v>2.8517</v>
      </c>
      <c r="G8" s="4" t="n">
        <v>4.3727</v>
      </c>
      <c r="H8" s="4" t="n">
        <v>5.7035</v>
      </c>
      <c r="I8" s="4" t="n">
        <v>5.7035</v>
      </c>
      <c r="J8" s="6" t="inlineStr">
        <is>
          <t>非常便宜</t>
        </is>
      </c>
      <c r="K8" s="4" t="n">
        <v>0.334</v>
      </c>
      <c r="L8" s="4" t="n">
        <v>2.8517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33.84</v>
      </c>
      <c r="D9" s="12" t="inlineStr">
        <is>
          <t>HKD</t>
        </is>
      </c>
      <c r="E9" s="14" t="n">
        <v>20.4708</v>
      </c>
      <c r="F9" s="14" t="n">
        <v>30.7061</v>
      </c>
      <c r="G9" s="14" t="n">
        <v>47.0828</v>
      </c>
      <c r="H9" s="14" t="n">
        <v>61.4123</v>
      </c>
      <c r="I9" s="14" t="n">
        <v>61.4123</v>
      </c>
      <c r="J9" s="16" t="inlineStr">
        <is>
          <t>合理</t>
        </is>
      </c>
      <c r="K9" s="14" t="n">
        <v>0.8265</v>
      </c>
      <c r="L9" s="14" t="n">
        <v>26.612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4.495</v>
      </c>
      <c r="D10" s="2" t="inlineStr">
        <is>
          <t>HKD</t>
        </is>
      </c>
      <c r="E10" s="4" t="n">
        <v>4.6598</v>
      </c>
      <c r="F10" s="4" t="n">
        <v>6.9897</v>
      </c>
      <c r="G10" s="4" t="n">
        <v>10.7176</v>
      </c>
      <c r="H10" s="4" t="n">
        <v>13.9794</v>
      </c>
      <c r="I10" s="4" t="n">
        <v>13.9794</v>
      </c>
      <c r="J10" s="6" t="inlineStr">
        <is>
          <t>非常便宜</t>
        </is>
      </c>
      <c r="K10" s="4" t="n">
        <v>0.4823</v>
      </c>
      <c r="L10" s="4" t="n">
        <v>6.9897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391.4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2.4974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428.2</v>
      </c>
      <c r="D12" s="7" t="inlineStr">
        <is>
          <t>HKD</t>
        </is>
      </c>
      <c r="E12" s="9" t="n">
        <v>330.2223</v>
      </c>
      <c r="F12" s="9" t="n">
        <v>495.3335</v>
      </c>
      <c r="G12" s="9" t="n">
        <v>759.5114</v>
      </c>
      <c r="H12" s="9" t="n">
        <v>990.667</v>
      </c>
      <c r="I12" s="9" t="n">
        <v>990.667</v>
      </c>
      <c r="J12" s="11" t="inlineStr">
        <is>
          <t>便宜</t>
        </is>
      </c>
      <c r="K12" s="9" t="n">
        <v>0.6484</v>
      </c>
      <c r="L12" s="9" t="n">
        <v>495.3335</v>
      </c>
    </row>
    <row r="13">
      <c r="A13" s="7" t="inlineStr">
        <is>
          <t>00762</t>
        </is>
      </c>
      <c r="B13" s="8" t="inlineStr">
        <is>
          <t>中国联通</t>
        </is>
      </c>
      <c r="C13" s="9" t="n">
        <v>5.87</v>
      </c>
      <c r="D13" s="7" t="inlineStr">
        <is>
          <t>HKD</t>
        </is>
      </c>
      <c r="E13" s="9" t="n">
        <v>5.7206</v>
      </c>
      <c r="F13" s="9" t="n">
        <v>8.5808</v>
      </c>
      <c r="G13" s="9" t="n">
        <v>13.1573</v>
      </c>
      <c r="H13" s="9" t="n">
        <v>17.1617</v>
      </c>
      <c r="I13" s="9" t="n">
        <v>17.1617</v>
      </c>
      <c r="J13" s="11" t="inlineStr">
        <is>
          <t>便宜</t>
        </is>
      </c>
      <c r="K13" s="9" t="n">
        <v>0.5131</v>
      </c>
      <c r="L13" s="9" t="n">
        <v>8.5808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5.7731</v>
      </c>
      <c r="F14" s="14" t="n">
        <v>8.659700000000001</v>
      </c>
      <c r="G14" s="14" t="n">
        <v>13.2782</v>
      </c>
      <c r="H14" s="14" t="n">
        <v>17.3194</v>
      </c>
      <c r="I14" s="14" t="n">
        <v>17.3194</v>
      </c>
      <c r="J14" s="16" t="inlineStr">
        <is>
          <t>合理</t>
        </is>
      </c>
      <c r="K14" s="14" t="n">
        <v>0.7803</v>
      </c>
      <c r="L14" s="14" t="n">
        <v>8.659700000000001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18.9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0.3539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9.57</v>
      </c>
      <c r="D16" s="2" t="inlineStr">
        <is>
          <t>HKD</t>
        </is>
      </c>
      <c r="E16" s="4" t="n">
        <v>11.5049</v>
      </c>
      <c r="F16" s="4" t="n">
        <v>17.2574</v>
      </c>
      <c r="G16" s="4" t="n">
        <v>26.4613</v>
      </c>
      <c r="H16" s="4" t="n">
        <v>34.5147</v>
      </c>
      <c r="I16" s="4" t="n">
        <v>34.5147</v>
      </c>
      <c r="J16" s="6" t="inlineStr">
        <is>
          <t>非常便宜</t>
        </is>
      </c>
      <c r="K16" s="4" t="n">
        <v>0.4159</v>
      </c>
      <c r="L16" s="4" t="n">
        <v>17.2574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35.873</v>
      </c>
      <c r="F17" s="4" t="n">
        <v>53.8095</v>
      </c>
      <c r="G17" s="4" t="n">
        <v>82.508</v>
      </c>
      <c r="H17" s="4" t="n">
        <v>107.6191</v>
      </c>
      <c r="I17" s="4" t="n">
        <v>107.6191</v>
      </c>
      <c r="J17" s="6" t="inlineStr">
        <is>
          <t>非常便宜</t>
        </is>
      </c>
      <c r="K17" s="4" t="n">
        <v>0.3301</v>
      </c>
      <c r="L17" s="4" t="n">
        <v>53.8095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9.65</v>
      </c>
      <c r="D18" s="2" t="inlineStr">
        <is>
          <t>HKD</t>
        </is>
      </c>
      <c r="E18" s="4" t="n">
        <v>65.3927</v>
      </c>
      <c r="F18" s="4" t="n">
        <v>98.0891</v>
      </c>
      <c r="G18" s="4" t="n">
        <v>150.4032</v>
      </c>
      <c r="H18" s="4" t="n">
        <v>196.1781</v>
      </c>
      <c r="I18" s="4" t="n">
        <v>196.1781</v>
      </c>
      <c r="J18" s="6" t="inlineStr">
        <is>
          <t>非常便宜</t>
        </is>
      </c>
      <c r="K18" s="4" t="n">
        <v>0.0738</v>
      </c>
      <c r="L18" s="4" t="n">
        <v>98.0891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inlineStr">
        <is>
          <t>HKD</t>
        </is>
      </c>
      <c r="E19" s="14" t="n">
        <v>44.8042</v>
      </c>
      <c r="F19" s="14" t="n">
        <v>67.2063</v>
      </c>
      <c r="G19" s="14" t="n">
        <v>103.0497</v>
      </c>
      <c r="H19" s="14" t="n">
        <v>134.4126</v>
      </c>
      <c r="I19" s="14" t="n">
        <v>134.4126</v>
      </c>
      <c r="J19" s="16" t="inlineStr">
        <is>
          <t>合理</t>
        </is>
      </c>
      <c r="K19" s="14" t="n">
        <v>0.8838</v>
      </c>
      <c r="L19" s="14" t="n">
        <v>67.2063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5.57</v>
      </c>
      <c r="D20" s="27" t="inlineStr">
        <is>
          <t>HKD</t>
        </is>
      </c>
      <c r="E20" s="29" t="n">
        <v>79.02</v>
      </c>
      <c r="F20" s="29" t="n">
        <v>118.53</v>
      </c>
      <c r="G20" s="29" t="n">
        <v>181.746</v>
      </c>
      <c r="H20" s="29" t="n">
        <v>237.0599</v>
      </c>
      <c r="I20" s="29" t="n">
        <v>237.0599</v>
      </c>
      <c r="J20" s="31" t="inlineStr">
        <is>
          <t>無法估值</t>
        </is>
      </c>
      <c r="K20" s="29" t="n">
        <v>0.0352</v>
      </c>
      <c r="L20" s="29" t="n">
        <v>102.726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63</v>
      </c>
      <c r="D21" s="22" t="inlineStr">
        <is>
          <t>HKD</t>
        </is>
      </c>
      <c r="E21" s="24" t="n">
        <v>3.4597</v>
      </c>
      <c r="F21" s="24" t="n">
        <v>5.1896</v>
      </c>
      <c r="G21" s="24" t="n">
        <v>7.9574</v>
      </c>
      <c r="H21" s="24" t="n">
        <v>10.3792</v>
      </c>
      <c r="I21" s="24" t="n">
        <v>10.3792</v>
      </c>
      <c r="J21" s="26" t="inlineStr">
        <is>
          <t>非常昂貴</t>
        </is>
      </c>
      <c r="K21" s="24" t="n">
        <v>9.104799999999999</v>
      </c>
      <c r="L21" s="24" t="n">
        <v>5.1896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35.44</v>
      </c>
      <c r="D22" s="12" t="inlineStr">
        <is>
          <t>HKD</t>
        </is>
      </c>
      <c r="E22" s="14" t="n">
        <v>15.8201</v>
      </c>
      <c r="F22" s="14" t="n">
        <v>23.7302</v>
      </c>
      <c r="G22" s="14" t="n">
        <v>36.3863</v>
      </c>
      <c r="H22" s="14" t="n">
        <v>47.4604</v>
      </c>
      <c r="I22" s="14" t="n">
        <v>47.4604</v>
      </c>
      <c r="J22" s="16" t="inlineStr">
        <is>
          <t>合理</t>
        </is>
      </c>
      <c r="K22" s="14" t="n">
        <v>1.1201</v>
      </c>
      <c r="L22" s="14" t="n">
        <v>23.7302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</v>
      </c>
      <c r="D23" s="2" t="inlineStr">
        <is>
          <t>HKD</t>
        </is>
      </c>
      <c r="E23" s="4" t="n">
        <v>49.2437</v>
      </c>
      <c r="F23" s="4" t="n">
        <v>73.8655</v>
      </c>
      <c r="G23" s="4" t="n">
        <v>113.2604</v>
      </c>
      <c r="H23" s="4" t="n">
        <v>147.731</v>
      </c>
      <c r="I23" s="4" t="n">
        <v>147.731</v>
      </c>
      <c r="J23" s="6" t="inlineStr">
        <is>
          <t>非常便宜</t>
        </is>
      </c>
      <c r="K23" s="4" t="n">
        <v>0.0762</v>
      </c>
      <c r="L23" s="4" t="n">
        <v>73.8655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26.36</v>
      </c>
      <c r="D24" s="12" t="inlineStr">
        <is>
          <t>HKD</t>
        </is>
      </c>
      <c r="E24" s="14" t="n">
        <v>14.3819</v>
      </c>
      <c r="F24" s="14" t="n">
        <v>21.5728</v>
      </c>
      <c r="G24" s="14" t="n">
        <v>33.0783</v>
      </c>
      <c r="H24" s="14" t="n">
        <v>43.1456</v>
      </c>
      <c r="I24" s="14" t="n">
        <v>43.1456</v>
      </c>
      <c r="J24" s="16" t="inlineStr">
        <is>
          <t>合理</t>
        </is>
      </c>
      <c r="K24" s="14" t="n">
        <v>0.9164</v>
      </c>
      <c r="L24" s="14" t="n">
        <v>21.5728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2.99</v>
      </c>
      <c r="D25" s="17" t="inlineStr">
        <is>
          <t>HKD</t>
        </is>
      </c>
      <c r="E25" s="19" t="n">
        <v>1.1577</v>
      </c>
      <c r="F25" s="19" t="n">
        <v>1.7366</v>
      </c>
      <c r="G25" s="19" t="n">
        <v>2.6628</v>
      </c>
      <c r="H25" s="19" t="n">
        <v>3.4732</v>
      </c>
      <c r="I25" s="19" t="n">
        <v>3.4732</v>
      </c>
      <c r="J25" s="21" t="inlineStr">
        <is>
          <t>昂貴</t>
        </is>
      </c>
      <c r="K25" s="19" t="n">
        <v>1.2913</v>
      </c>
      <c r="L25" s="19" t="n">
        <v>1.7366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53.2</v>
      </c>
      <c r="D27" s="2" t="inlineStr">
        <is>
          <t>HKD</t>
        </is>
      </c>
      <c r="E27" s="4" t="n">
        <v>349.8471</v>
      </c>
      <c r="F27" s="4" t="n">
        <v>524.7707</v>
      </c>
      <c r="G27" s="4" t="n">
        <v>804.6484</v>
      </c>
      <c r="H27" s="4" t="n">
        <v>1049.5414</v>
      </c>
      <c r="I27" s="4" t="n">
        <v>1049.5414</v>
      </c>
      <c r="J27" s="6" t="inlineStr">
        <is>
          <t>非常便宜</t>
        </is>
      </c>
      <c r="K27" s="4" t="n">
        <v>0.076</v>
      </c>
      <c r="L27" s="4" t="n">
        <v>524.7707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203.6</v>
      </c>
      <c r="D28" s="22" t="inlineStr">
        <is>
          <t>HKD</t>
        </is>
      </c>
      <c r="E28" s="24" t="n">
        <v>51.537</v>
      </c>
      <c r="F28" s="24" t="n">
        <v>77.30549999999999</v>
      </c>
      <c r="G28" s="24" t="n">
        <v>118.5351</v>
      </c>
      <c r="H28" s="24" t="n">
        <v>154.611</v>
      </c>
      <c r="I28" s="24" t="n">
        <v>154.611</v>
      </c>
      <c r="J28" s="26" t="inlineStr">
        <is>
          <t>非常昂貴</t>
        </is>
      </c>
      <c r="K28" s="24" t="n">
        <v>1.9753</v>
      </c>
      <c r="L28" s="24" t="n">
        <v>77.30549999999999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3.305</v>
      </c>
      <c r="D29" s="2" t="inlineStr">
        <is>
          <t>HKD</t>
        </is>
      </c>
      <c r="E29" s="4" t="n">
        <v>6.6214</v>
      </c>
      <c r="F29" s="4" t="n">
        <v>9.9321</v>
      </c>
      <c r="G29" s="4" t="n">
        <v>15.2292</v>
      </c>
      <c r="H29" s="4" t="n">
        <v>19.8642</v>
      </c>
      <c r="I29" s="4" t="n">
        <v>19.8642</v>
      </c>
      <c r="J29" s="6" t="inlineStr">
        <is>
          <t>非常便宜</t>
        </is>
      </c>
      <c r="K29" s="4" t="n">
        <v>0.2496</v>
      </c>
      <c r="L29" s="4" t="n">
        <v>9.9321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49.6</v>
      </c>
      <c r="D30" s="7" t="inlineStr">
        <is>
          <t>HKD</t>
        </is>
      </c>
      <c r="E30" s="9" t="n">
        <v>42.0818</v>
      </c>
      <c r="F30" s="9" t="n">
        <v>63.1227</v>
      </c>
      <c r="G30" s="9" t="n">
        <v>96.7882</v>
      </c>
      <c r="H30" s="9" t="n">
        <v>126.2455</v>
      </c>
      <c r="I30" s="9" t="n">
        <v>126.2455</v>
      </c>
      <c r="J30" s="11" t="inlineStr">
        <is>
          <t>便宜</t>
        </is>
      </c>
      <c r="K30" s="9" t="n">
        <v>0.5893</v>
      </c>
      <c r="L30" s="9" t="n">
        <v>63.1227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73.8</v>
      </c>
      <c r="D31" s="22" t="inlineStr">
        <is>
          <t>HKD</t>
        </is>
      </c>
      <c r="E31" s="24" t="n">
        <v>6.9808</v>
      </c>
      <c r="F31" s="24" t="n">
        <v>10.4713</v>
      </c>
      <c r="G31" s="24" t="n">
        <v>16.0559</v>
      </c>
      <c r="H31" s="24" t="n">
        <v>20.9425</v>
      </c>
      <c r="I31" s="24" t="n">
        <v>20.9425</v>
      </c>
      <c r="J31" s="26" t="inlineStr">
        <is>
          <t>非常昂貴</t>
        </is>
      </c>
      <c r="K31" s="24" t="n">
        <v>5.2859</v>
      </c>
      <c r="L31" s="24" t="n">
        <v>10.4713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512</v>
      </c>
      <c r="D32" s="17" t="inlineStr">
        <is>
          <t>HKD</t>
        </is>
      </c>
      <c r="E32" s="19" t="n">
        <v>191.3621</v>
      </c>
      <c r="F32" s="19" t="n">
        <v>287.0431</v>
      </c>
      <c r="G32" s="19" t="n">
        <v>440.1328</v>
      </c>
      <c r="H32" s="19" t="n">
        <v>574.0862</v>
      </c>
      <c r="I32" s="19" t="n">
        <v>574.0862</v>
      </c>
      <c r="J32" s="21" t="inlineStr">
        <is>
          <t>昂貴</t>
        </is>
      </c>
      <c r="K32" s="19" t="n">
        <v>1.3378</v>
      </c>
      <c r="L32" s="19" t="n">
        <v>287.0431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51.4</v>
      </c>
      <c r="D33" s="2" t="inlineStr">
        <is>
          <t>HKD</t>
        </is>
      </c>
      <c r="E33" s="4" t="n">
        <v>294.269</v>
      </c>
      <c r="F33" s="4" t="n">
        <v>441.4036</v>
      </c>
      <c r="G33" s="4" t="n">
        <v>676.8188</v>
      </c>
      <c r="H33" s="4" t="n">
        <v>882.8071</v>
      </c>
      <c r="I33" s="4" t="n">
        <v>882.8071</v>
      </c>
      <c r="J33" s="6" t="inlineStr">
        <is>
          <t>非常便宜</t>
        </is>
      </c>
      <c r="K33" s="4" t="n">
        <v>0.0873</v>
      </c>
      <c r="L33" s="4" t="n">
        <v>441.4036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4.11</v>
      </c>
      <c r="D34" s="2" t="inlineStr">
        <is>
          <t>HKD</t>
        </is>
      </c>
      <c r="E34" s="4" t="n">
        <v>4.1518</v>
      </c>
      <c r="F34" s="4" t="n">
        <v>6.2277</v>
      </c>
      <c r="G34" s="4" t="n">
        <v>9.549200000000001</v>
      </c>
      <c r="H34" s="4" t="n">
        <v>12.4554</v>
      </c>
      <c r="I34" s="4" t="n">
        <v>12.4554</v>
      </c>
      <c r="J34" s="6" t="inlineStr">
        <is>
          <t>非常便宜</t>
        </is>
      </c>
      <c r="K34" s="4" t="n">
        <v>0.495</v>
      </c>
      <c r="L34" s="4" t="n">
        <v>6.2277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21.24</v>
      </c>
      <c r="D35" s="22" t="inlineStr">
        <is>
          <t>HKD</t>
        </is>
      </c>
      <c r="E35" s="24" t="n">
        <v>6.1055</v>
      </c>
      <c r="F35" s="24" t="n">
        <v>9.158200000000001</v>
      </c>
      <c r="G35" s="24" t="n">
        <v>14.0426</v>
      </c>
      <c r="H35" s="24" t="n">
        <v>18.3164</v>
      </c>
      <c r="I35" s="24" t="n">
        <v>18.3164</v>
      </c>
      <c r="J35" s="26" t="inlineStr">
        <is>
          <t>非常昂貴</t>
        </is>
      </c>
      <c r="K35" s="24" t="n">
        <v>1.7394</v>
      </c>
      <c r="L35" s="24" t="n">
        <v>9.158200000000001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105.4</v>
      </c>
      <c r="D36" s="12" t="inlineStr">
        <is>
          <t>HKD</t>
        </is>
      </c>
      <c r="E36" s="14" t="n">
        <v>68.0868</v>
      </c>
      <c r="F36" s="14" t="n">
        <v>102.1301</v>
      </c>
      <c r="G36" s="14" t="n">
        <v>156.5996</v>
      </c>
      <c r="H36" s="14" t="n">
        <v>204.2603</v>
      </c>
      <c r="I36" s="14" t="n">
        <v>204.2603</v>
      </c>
      <c r="J36" s="16" t="inlineStr">
        <is>
          <t>合理</t>
        </is>
      </c>
      <c r="K36" s="14" t="n">
        <v>0.774</v>
      </c>
      <c r="L36" s="14" t="n">
        <v>102.1301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318</v>
      </c>
      <c r="D37" s="7" t="inlineStr">
        <is>
          <t>HKD</t>
        </is>
      </c>
      <c r="E37" s="9" t="n">
        <v>215.3666</v>
      </c>
      <c r="F37" s="9" t="n">
        <v>323.0499</v>
      </c>
      <c r="G37" s="9" t="n">
        <v>495.3432</v>
      </c>
      <c r="H37" s="9" t="n">
        <v>646.0998</v>
      </c>
      <c r="I37" s="9" t="n">
        <v>646.0998</v>
      </c>
      <c r="J37" s="11" t="inlineStr">
        <is>
          <t>便宜</t>
        </is>
      </c>
      <c r="K37" s="9" t="n">
        <v>0.7383</v>
      </c>
      <c r="L37" s="9" t="n">
        <v>323.0499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108.8</v>
      </c>
      <c r="D38" s="22" t="inlineStr">
        <is>
          <t>HKD</t>
        </is>
      </c>
      <c r="E38" s="24" t="n">
        <v>34.0813</v>
      </c>
      <c r="F38" s="24" t="n">
        <v>51.122</v>
      </c>
      <c r="G38" s="24" t="n">
        <v>78.387</v>
      </c>
      <c r="H38" s="24" t="n">
        <v>102.2439</v>
      </c>
      <c r="I38" s="24" t="n">
        <v>102.2439</v>
      </c>
      <c r="J38" s="26" t="inlineStr">
        <is>
          <t>非常昂貴</t>
        </is>
      </c>
      <c r="K38" s="24" t="n">
        <v>1.5962</v>
      </c>
      <c r="L38" s="24" t="n">
        <v>51.122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183.9</v>
      </c>
      <c r="D39" s="7" t="inlineStr">
        <is>
          <t>HKD</t>
        </is>
      </c>
      <c r="E39" s="9" t="n">
        <v>150.0704</v>
      </c>
      <c r="F39" s="9" t="n">
        <v>225.1056</v>
      </c>
      <c r="G39" s="9" t="n">
        <v>345.162</v>
      </c>
      <c r="H39" s="9" t="n">
        <v>450.2113</v>
      </c>
      <c r="I39" s="9" t="n">
        <v>450.2113</v>
      </c>
      <c r="J39" s="11" t="inlineStr">
        <is>
          <t>便宜</t>
        </is>
      </c>
      <c r="K39" s="9" t="n">
        <v>0.6127</v>
      </c>
      <c r="L39" s="9" t="n">
        <v>225.1056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86.59</v>
      </c>
      <c r="D40" s="7" t="inlineStr">
        <is>
          <t>CNY</t>
        </is>
      </c>
      <c r="E40" s="9" t="n">
        <v>63.1824</v>
      </c>
      <c r="F40" s="9" t="n">
        <v>94.7736</v>
      </c>
      <c r="G40" s="9" t="n">
        <v>145.3196</v>
      </c>
      <c r="H40" s="9" t="n">
        <v>189.5473</v>
      </c>
      <c r="I40" s="9" t="n">
        <v>189.5473</v>
      </c>
      <c r="J40" s="11" t="inlineStr">
        <is>
          <t>便宜</t>
        </is>
      </c>
      <c r="K40" s="9" t="n">
        <v>0.6852</v>
      </c>
      <c r="L40" s="9" t="n">
        <v>94.7736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157.05</v>
      </c>
      <c r="D41" s="12" t="inlineStr">
        <is>
          <t>CNY</t>
        </is>
      </c>
      <c r="E41" s="14" t="n">
        <v>100.151</v>
      </c>
      <c r="F41" s="14" t="n">
        <v>150.2264</v>
      </c>
      <c r="G41" s="14" t="n">
        <v>230.3472</v>
      </c>
      <c r="H41" s="14" t="n">
        <v>300.4529</v>
      </c>
      <c r="I41" s="14" t="n">
        <v>300.4529</v>
      </c>
      <c r="J41" s="16" t="inlineStr">
        <is>
          <t>合理</t>
        </is>
      </c>
      <c r="K41" s="14" t="n">
        <v>0.7841</v>
      </c>
      <c r="L41" s="14" t="n">
        <v>150.2264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43.9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1.5415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118.65</v>
      </c>
      <c r="D43" s="22" t="inlineStr">
        <is>
          <t>CNY</t>
        </is>
      </c>
      <c r="E43" s="24" t="n">
        <v>25.2758</v>
      </c>
      <c r="F43" s="24" t="n">
        <v>37.9137</v>
      </c>
      <c r="G43" s="24" t="n">
        <v>58.1344</v>
      </c>
      <c r="H43" s="24" t="n">
        <v>75.8274</v>
      </c>
      <c r="I43" s="24" t="n">
        <v>75.8274</v>
      </c>
      <c r="J43" s="26" t="inlineStr">
        <is>
          <t>非常昂貴</t>
        </is>
      </c>
      <c r="K43" s="24" t="n">
        <v>2.3471</v>
      </c>
      <c r="L43" s="24" t="n">
        <v>37.9137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1264.22</v>
      </c>
      <c r="D44" s="12" t="inlineStr">
        <is>
          <t>CNY</t>
        </is>
      </c>
      <c r="E44" s="14" t="n">
        <v>593.4174</v>
      </c>
      <c r="F44" s="14" t="n">
        <v>890.1261</v>
      </c>
      <c r="G44" s="14" t="n">
        <v>1364.86</v>
      </c>
      <c r="H44" s="14" t="n">
        <v>1780.2522</v>
      </c>
      <c r="I44" s="14" t="n">
        <v>1780.2522</v>
      </c>
      <c r="J44" s="16" t="inlineStr">
        <is>
          <t>合理</t>
        </is>
      </c>
      <c r="K44" s="14" t="n">
        <v>1.0652</v>
      </c>
      <c r="L44" s="14" t="n">
        <v>890.1261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28.34</v>
      </c>
      <c r="D45" s="17" t="inlineStr">
        <is>
          <t>CNY</t>
        </is>
      </c>
      <c r="E45" s="19" t="n">
        <v>10.2847</v>
      </c>
      <c r="F45" s="19" t="n">
        <v>15.4271</v>
      </c>
      <c r="G45" s="19" t="n">
        <v>23.6549</v>
      </c>
      <c r="H45" s="19" t="n">
        <v>30.8542</v>
      </c>
      <c r="I45" s="19" t="n">
        <v>30.8542</v>
      </c>
      <c r="J45" s="21" t="inlineStr">
        <is>
          <t>昂貴</t>
        </is>
      </c>
      <c r="K45" s="19" t="n">
        <v>1.3778</v>
      </c>
      <c r="L45" s="19" t="n">
        <v>15.4271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62.3</v>
      </c>
      <c r="D46" s="22" t="inlineStr">
        <is>
          <t>CNY</t>
        </is>
      </c>
      <c r="E46" s="24" t="n">
        <v>17.8795</v>
      </c>
      <c r="F46" s="24" t="n">
        <v>26.8193</v>
      </c>
      <c r="G46" s="24" t="n">
        <v>41.1229</v>
      </c>
      <c r="H46" s="24" t="n">
        <v>53.6386</v>
      </c>
      <c r="I46" s="24" t="n">
        <v>53.6386</v>
      </c>
      <c r="J46" s="26" t="inlineStr">
        <is>
          <t>非常昂貴</t>
        </is>
      </c>
      <c r="K46" s="24" t="n">
        <v>1.7422</v>
      </c>
      <c r="L46" s="24" t="n">
        <v>26.8193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55.95</v>
      </c>
      <c r="D47" s="7" t="inlineStr">
        <is>
          <t>CNY</t>
        </is>
      </c>
      <c r="E47" s="9" t="n">
        <v>50.4725</v>
      </c>
      <c r="F47" s="9" t="n">
        <v>75.70869999999999</v>
      </c>
      <c r="G47" s="9" t="n">
        <v>116.0867</v>
      </c>
      <c r="H47" s="9" t="n">
        <v>151.4174</v>
      </c>
      <c r="I47" s="9" t="n">
        <v>151.4174</v>
      </c>
      <c r="J47" s="11" t="inlineStr">
        <is>
          <t>便宜</t>
        </is>
      </c>
      <c r="K47" s="9" t="n">
        <v>0.5543</v>
      </c>
      <c r="L47" s="9" t="n">
        <v>75.70869999999999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83.95</v>
      </c>
      <c r="D48" s="7" t="inlineStr">
        <is>
          <t>CNY</t>
        </is>
      </c>
      <c r="E48" s="9" t="n">
        <v>56.5663</v>
      </c>
      <c r="F48" s="9" t="n">
        <v>84.84950000000001</v>
      </c>
      <c r="G48" s="9" t="n">
        <v>130.1026</v>
      </c>
      <c r="H48" s="9" t="n">
        <v>169.699</v>
      </c>
      <c r="I48" s="9" t="n">
        <v>169.699</v>
      </c>
      <c r="J48" s="11" t="inlineStr">
        <is>
          <t>便宜</t>
        </is>
      </c>
      <c r="K48" s="9" t="n">
        <v>0.742</v>
      </c>
      <c r="L48" s="9" t="n">
        <v>84.84950000000001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351.98</v>
      </c>
      <c r="D49" s="22" t="inlineStr">
        <is>
          <t>CNY</t>
        </is>
      </c>
      <c r="E49" s="24" t="n">
        <v>39.5056</v>
      </c>
      <c r="F49" s="24" t="n">
        <v>59.2584</v>
      </c>
      <c r="G49" s="24" t="n">
        <v>90.8629</v>
      </c>
      <c r="H49" s="24" t="n">
        <v>118.5169</v>
      </c>
      <c r="I49" s="24" t="n">
        <v>118.5169</v>
      </c>
      <c r="J49" s="26" t="inlineStr">
        <is>
          <t>非常昂貴</t>
        </is>
      </c>
      <c r="K49" s="24" t="n">
        <v>4.4548</v>
      </c>
      <c r="L49" s="24" t="n">
        <v>59.2584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289.59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27.8198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491.8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73.6178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334.815</v>
      </c>
      <c r="D52" s="22" t="inlineStr">
        <is>
          <t>USD</t>
        </is>
      </c>
      <c r="E52" s="24" t="n">
        <v>24.5802</v>
      </c>
      <c r="F52" s="24" t="n">
        <v>36.8704</v>
      </c>
      <c r="G52" s="24" t="n">
        <v>56.5345</v>
      </c>
      <c r="H52" s="24" t="n">
        <v>73.7407</v>
      </c>
      <c r="I52" s="24" t="n">
        <v>73.7407</v>
      </c>
      <c r="J52" s="26" t="inlineStr">
        <is>
          <t>非常昂貴</t>
        </is>
      </c>
      <c r="K52" s="24" t="n">
        <v>6.8107</v>
      </c>
      <c r="L52" s="24" t="n">
        <v>36.8704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508.34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350.165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5.5709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268.515</v>
      </c>
      <c r="D58" s="7" t="inlineStr">
        <is>
          <t>USD</t>
        </is>
      </c>
      <c r="E58" s="9" t="n">
        <v>240.403</v>
      </c>
      <c r="F58" s="9" t="n">
        <v>360.6045</v>
      </c>
      <c r="G58" s="9" t="n">
        <v>552.9269</v>
      </c>
      <c r="H58" s="9" t="n">
        <v>721.2089999999999</v>
      </c>
      <c r="I58" s="9" t="n">
        <v>721.2089999999999</v>
      </c>
      <c r="J58" s="11" t="inlineStr">
        <is>
          <t>便宜</t>
        </is>
      </c>
      <c r="K58" s="9" t="n">
        <v>0.5585</v>
      </c>
      <c r="L58" s="9" t="n">
        <v>360.6045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493.811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6.0462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161.6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5.42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1.24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84.40000000000001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38.26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29.46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1.27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33.84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4.495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391.4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428.2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5.87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9.57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5.57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35.44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26.36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2.99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53.2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203.6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3.305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512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51.4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4.11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21.24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105.4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108.8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183.9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86.59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157.05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43.9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118.65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1264.22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28.34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62.3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55.95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83.95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351.98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289.59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491.8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334.815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508.34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350.165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268.515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493.811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161.6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5.42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1.24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84.40000000000001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38.26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29.46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1.27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33.84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82.09999999999999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4.495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391.4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428.2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7" t="inlineStr">
        <is>
          <t>00762</t>
        </is>
      </c>
      <c r="B13" s="8" t="inlineStr">
        <is>
          <t>中国联通</t>
        </is>
      </c>
      <c r="C13" s="9" t="n">
        <v>5.87</v>
      </c>
      <c r="D13" s="7" t="n">
        <v>7.2</v>
      </c>
      <c r="E13" s="7" t="inlineStr">
        <is>
          <t>★★★★☆</t>
        </is>
      </c>
      <c r="F13" s="11" t="inlineStr">
        <is>
          <t>便宜</t>
        </is>
      </c>
      <c r="G13" s="7" t="inlineStr">
        <is>
          <t>便宜</t>
        </is>
      </c>
      <c r="H13" s="7" t="n">
        <v>93.7</v>
      </c>
      <c r="I13" s="8" t="inlineStr">
        <is>
          <t>連續十年獲利、淨現金穩健，惟ROE僅4.2%反映重資產低回報本質</t>
        </is>
      </c>
      <c r="J13" s="8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8" t="inlineStr">
        <is>
          <t>ROE/ROIC長期低於股權成本8.7% / 流動比率0.70偏離安全標準 / FCFF終值佔比69%依賴假設</t>
        </is>
      </c>
      <c r="L13" s="7" t="inlineStr">
        <is>
          <t>qwen3.8-max</t>
        </is>
      </c>
      <c r="M13" s="7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85.90000000000001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18.9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9.57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9.65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5.57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63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35.44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26.36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2.99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53.2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203.6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3.305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49.6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73.8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512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51.4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4.11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21.24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105.4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318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108.8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183.9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86.59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157.05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43.9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118.65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1264.22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28.34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62.3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55.95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83.95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351.98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289.59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491.8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334.815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508.34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350.165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268.515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493.811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2026-09-18T15:22:03Z</dcterms:created>
  <dcterms:modified xmlns:dcterms="http://purl.org/dc/terms/" xmlns:xsi="http://www.w3.org/2001/XMLSchema-instance" xsi:type="dcterms:W3CDTF">2026-09-18T15:22:06Z</dcterms:modified>
</cp:coreProperties>
</file>