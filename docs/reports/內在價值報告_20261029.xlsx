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4.09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8.379300000000001</v>
      </c>
      <c r="J2" s="4" t="n">
        <v>3.9083</v>
      </c>
      <c r="K2" s="4" t="n">
        <v>7.1282</v>
      </c>
      <c r="L2" s="5" t="n">
        <v>-51.2</v>
      </c>
      <c r="M2" s="5" t="n">
        <v>25</v>
      </c>
      <c r="N2" s="4" t="n">
        <v>6.2845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2026-10-29</t>
        </is>
      </c>
      <c r="AF2" s="3" t="inlineStr">
        <is>
          <t>報表幣別 CNY → 交易幣別 HKD，匯率 1.1747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13.3637</v>
      </c>
      <c r="J3" s="4" t="n">
        <v>6.9234</v>
      </c>
      <c r="K3" s="4" t="n">
        <v>11.3343</v>
      </c>
      <c r="L3" s="5" t="n">
        <v>-76.09999999999999</v>
      </c>
      <c r="M3" s="5" t="n">
        <v>25</v>
      </c>
      <c r="N3" s="4" t="n">
        <v>10.0227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2026-10-29</t>
        </is>
      </c>
      <c r="AF3" s="3" t="inlineStr">
        <is>
          <t>報表幣別 CNY → 交易幣別 HKD，匯率 1.1747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24.16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72.3959</v>
      </c>
      <c r="J4" s="4" t="n">
        <v>41.7158</v>
      </c>
      <c r="K4" s="4" t="n">
        <v>68.39360000000001</v>
      </c>
      <c r="L4" s="5" t="n">
        <v>-66.59999999999999</v>
      </c>
      <c r="M4" s="5" t="n">
        <v>25</v>
      </c>
      <c r="N4" s="4" t="n">
        <v>54.297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2026-10-29</t>
        </is>
      </c>
      <c r="AF4" s="3" t="inlineStr">
        <is>
          <t>缺關鍵科目：capex / 報表幣別 CNY → 交易幣別 HKD，匯率 1.1747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37.44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142.594</v>
      </c>
      <c r="J5" s="4" t="n">
        <v>55.8024</v>
      </c>
      <c r="K5" s="4" t="n">
        <v>151.0522</v>
      </c>
      <c r="L5" s="5" t="n">
        <v>-73.7</v>
      </c>
      <c r="M5" s="5" t="n">
        <v>25</v>
      </c>
      <c r="N5" s="4" t="n">
        <v>106.9455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2026-10-29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10.26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22.7307</v>
      </c>
      <c r="J6" s="4" t="n">
        <v>12.7496</v>
      </c>
      <c r="K6" s="4" t="n">
        <v>15.6375</v>
      </c>
      <c r="L6" s="5" t="n">
        <v>-54.9</v>
      </c>
      <c r="M6" s="5" t="n">
        <v>25</v>
      </c>
      <c r="N6" s="4" t="n">
        <v>17.0481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97.7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2026-10-29</t>
        </is>
      </c>
      <c r="AF6" s="3" t="inlineStr">
        <is>
          <t>報表幣別 CNY → 交易幣別 HKD，匯率 1.1747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5.17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11.5757</v>
      </c>
      <c r="J7" s="4" t="n">
        <v>8.458299999999999</v>
      </c>
      <c r="K7" s="4" t="n">
        <v>12.4977</v>
      </c>
      <c r="L7" s="5" t="n">
        <v>-55.3</v>
      </c>
      <c r="M7" s="5" t="n">
        <v>25</v>
      </c>
      <c r="N7" s="4" t="n">
        <v>8.681800000000001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2026-10-29</t>
        </is>
      </c>
      <c r="AF7" s="3" t="inlineStr">
        <is>
          <t>報表幣別 CNY → 交易幣別 HKD，匯率 1.1747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441.82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6308.2253</v>
      </c>
      <c r="J8" s="4" t="n">
        <v>564.4848</v>
      </c>
      <c r="K8" s="4" t="n">
        <v>5285.4917</v>
      </c>
      <c r="L8" s="5" t="n">
        <v>-93</v>
      </c>
      <c r="M8" s="5" t="n">
        <v>25</v>
      </c>
      <c r="N8" s="4" t="n">
        <v>4731.169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80.09999999999999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2026-10-13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1.21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3.8397</v>
      </c>
      <c r="J9" s="4" t="n">
        <v>2.2286</v>
      </c>
      <c r="K9" s="4" t="n">
        <v>2.9271</v>
      </c>
      <c r="L9" s="5" t="n">
        <v>-68.5</v>
      </c>
      <c r="M9" s="5" t="n">
        <v>25</v>
      </c>
      <c r="N9" s="4" t="n">
        <v>2.8798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2026-10-29</t>
        </is>
      </c>
      <c r="AF9" s="3" t="inlineStr">
        <is>
          <t>報表幣別 CNY → 交易幣別 HKD，匯率 1.1747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19.28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-63.9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2026-10-29</t>
        </is>
      </c>
      <c r="AF10" s="3" t="inlineStr"/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53.35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593.8945</v>
      </c>
      <c r="J11" s="4" t="n">
        <v>32.5344</v>
      </c>
      <c r="K11" s="4" t="n">
        <v>133.2606</v>
      </c>
      <c r="L11" s="5" t="n">
        <v>-91</v>
      </c>
      <c r="M11" s="5" t="n">
        <v>25</v>
      </c>
      <c r="N11" s="4" t="n">
        <v>445.4209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2026-10-29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7.81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99.3837</v>
      </c>
      <c r="J12" s="4" t="n">
        <v>5.5697</v>
      </c>
      <c r="K12" s="4" t="n">
        <v>13.2286</v>
      </c>
      <c r="L12" s="5" t="n">
        <v>-92.09999999999999</v>
      </c>
      <c r="M12" s="5" t="n">
        <v>25</v>
      </c>
      <c r="N12" s="4" t="n">
        <v>74.5378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2026-10-29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48.32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706.0624</v>
      </c>
      <c r="J13" s="4" t="n">
        <v>45.2979</v>
      </c>
      <c r="K13" s="4" t="n">
        <v>137.8052</v>
      </c>
      <c r="L13" s="5" t="n">
        <v>-93.2</v>
      </c>
      <c r="M13" s="5" t="n">
        <v>25</v>
      </c>
      <c r="N13" s="4" t="n">
        <v>529.5468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2026-10-29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543.296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2026-10-29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10.19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131.9757</v>
      </c>
      <c r="J15" s="4" t="n">
        <v>7.1726</v>
      </c>
      <c r="K15" s="4" t="n">
        <v>20.3527</v>
      </c>
      <c r="L15" s="5" t="n">
        <v>-92.3</v>
      </c>
      <c r="M15" s="5" t="n">
        <v>25</v>
      </c>
      <c r="N15" s="4" t="n">
        <v>98.98180000000001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2026-10-29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CN</t>
        </is>
      </c>
      <c r="B16" s="7" t="inlineStr">
        <is>
          <t>603605</t>
        </is>
      </c>
      <c r="C16" s="8" t="inlineStr">
        <is>
          <t>珀莱雅</t>
        </is>
      </c>
      <c r="D16" s="9" t="n">
        <v>54.26</v>
      </c>
      <c r="E16" s="8" t="inlineStr"/>
      <c r="F16" s="7" t="inlineStr">
        <is>
          <t>growth</t>
        </is>
      </c>
      <c r="G16" s="7" t="inlineStr">
        <is>
          <t>CNY</t>
        </is>
      </c>
      <c r="H16" s="8" t="inlineStr"/>
      <c r="I16" s="9" t="n">
        <v>100.9528</v>
      </c>
      <c r="J16" s="9" t="n">
        <v>56.514</v>
      </c>
      <c r="K16" s="9" t="n">
        <v>94.1225</v>
      </c>
      <c r="L16" s="10" t="n">
        <v>-46.3</v>
      </c>
      <c r="M16" s="10" t="n">
        <v>25</v>
      </c>
      <c r="N16" s="9" t="n">
        <v>75.7146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8.5</v>
      </c>
      <c r="S16" s="7" t="inlineStr">
        <is>
          <t>★★★★☆</t>
        </is>
      </c>
      <c r="T16" s="7" t="n">
        <v>6.5</v>
      </c>
      <c r="U16" s="7" t="n">
        <v>8.800000000000001</v>
      </c>
      <c r="V16" s="7" t="n">
        <v>8.199999999999999</v>
      </c>
      <c r="W16" s="7" t="n">
        <v>93.3</v>
      </c>
      <c r="X16" s="8" t="inlineStr">
        <is>
          <t>高毛利、強現金流、淨現金充裕，財務體質極為穩健</t>
        </is>
      </c>
      <c r="Y16" s="10" t="n">
        <v>28.5</v>
      </c>
      <c r="Z16" s="10" t="n">
        <v>83.90000000000001</v>
      </c>
      <c r="AA16" s="10" t="n">
        <v>73.7</v>
      </c>
      <c r="AB16" s="10" t="n">
        <v>33.7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2026-10-29</t>
        </is>
      </c>
      <c r="AF16" s="8" t="inlineStr"/>
    </row>
    <row r="17">
      <c r="A17" s="7" t="inlineStr">
        <is>
          <t>HK</t>
        </is>
      </c>
      <c r="B17" s="7" t="inlineStr">
        <is>
          <t>00700</t>
        </is>
      </c>
      <c r="C17" s="8" t="inlineStr">
        <is>
          <t>腾讯控股</t>
        </is>
      </c>
      <c r="D17" s="9" t="n">
        <v>381.6</v>
      </c>
      <c r="E17" s="8" t="inlineStr"/>
      <c r="F17" s="7" t="inlineStr">
        <is>
          <t>mature</t>
        </is>
      </c>
      <c r="G17" s="7" t="inlineStr">
        <is>
          <t>HKD</t>
        </is>
      </c>
      <c r="H17" s="8" t="inlineStr"/>
      <c r="I17" s="9" t="n">
        <v>667.2879</v>
      </c>
      <c r="J17" s="9" t="n">
        <v>464.3502</v>
      </c>
      <c r="K17" s="9" t="n">
        <v>616.0083</v>
      </c>
      <c r="L17" s="10" t="n">
        <v>-42.8</v>
      </c>
      <c r="M17" s="10" t="n">
        <v>25</v>
      </c>
      <c r="N17" s="9" t="n">
        <v>500.4659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5.5</v>
      </c>
      <c r="U17" s="7" t="n">
        <v>8.5</v>
      </c>
      <c r="V17" s="7" t="n">
        <v>7.5</v>
      </c>
      <c r="W17" s="7" t="n">
        <v>95.90000000000001</v>
      </c>
      <c r="X17" s="8" t="inlineStr">
        <is>
          <t>ROE逾20%且穩定，自由現金流率近25%，財務體質優良</t>
        </is>
      </c>
      <c r="Y17" s="10" t="n">
        <v>20.7</v>
      </c>
      <c r="Z17" s="10" t="n">
        <v>18.7</v>
      </c>
      <c r="AA17" s="10" t="n">
        <v>57.4</v>
      </c>
      <c r="AB17" s="10" t="n">
        <v>43.4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2026-10-29</t>
        </is>
      </c>
      <c r="AF17" s="8" t="inlineStr">
        <is>
          <t>報表幣別 CNY → 交易幣別 HKD，匯率 1.1747</t>
        </is>
      </c>
    </row>
    <row r="18">
      <c r="A18" s="7" t="inlineStr">
        <is>
          <t>CN</t>
        </is>
      </c>
      <c r="B18" s="7" t="inlineStr">
        <is>
          <t>300274</t>
        </is>
      </c>
      <c r="C18" s="8" t="inlineStr">
        <is>
          <t>阳光电源</t>
        </is>
      </c>
      <c r="D18" s="9" t="n">
        <v>67.61</v>
      </c>
      <c r="E18" s="8" t="inlineStr"/>
      <c r="F18" s="7" t="inlineStr">
        <is>
          <t>growth</t>
        </is>
      </c>
      <c r="G18" s="7" t="inlineStr">
        <is>
          <t>CNY</t>
        </is>
      </c>
      <c r="H18" s="8" t="inlineStr"/>
      <c r="I18" s="9" t="n">
        <v>126.4548</v>
      </c>
      <c r="J18" s="9" t="n">
        <v>67.9786</v>
      </c>
      <c r="K18" s="9" t="n">
        <v>166.782</v>
      </c>
      <c r="L18" s="10" t="n">
        <v>-46.5</v>
      </c>
      <c r="M18" s="10" t="n">
        <v>25</v>
      </c>
      <c r="N18" s="9" t="n">
        <v>94.8411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8</v>
      </c>
      <c r="W18" s="7" t="n">
        <v>85.90000000000001</v>
      </c>
      <c r="X18" s="8" t="inlineStr">
        <is>
          <t>淨現金充裕、ROIC逾41%、十年連續獲利，現金流品質極佳</t>
        </is>
      </c>
      <c r="Y18" s="10" t="n">
        <v>21.7</v>
      </c>
      <c r="Z18" s="10" t="n">
        <v>41.1</v>
      </c>
      <c r="AA18" s="10" t="n">
        <v>32</v>
      </c>
      <c r="AB18" s="10" t="n">
        <v>58.2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2026-10-29</t>
        </is>
      </c>
      <c r="AF18" s="8" t="inlineStr"/>
    </row>
    <row r="19">
      <c r="A19" s="7" t="inlineStr">
        <is>
          <t>HK</t>
        </is>
      </c>
      <c r="B19" s="7" t="inlineStr">
        <is>
          <t>09999</t>
        </is>
      </c>
      <c r="C19" s="8" t="inlineStr">
        <is>
          <t>网易</t>
        </is>
      </c>
      <c r="D19" s="9" t="n">
        <v>173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303.5068</v>
      </c>
      <c r="J19" s="9" t="n">
        <v>155.2439</v>
      </c>
      <c r="K19" s="9" t="n">
        <v>383.0001</v>
      </c>
      <c r="L19" s="10" t="n">
        <v>-43</v>
      </c>
      <c r="M19" s="10" t="n">
        <v>25</v>
      </c>
      <c r="N19" s="9" t="n">
        <v>227.6301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7.6</v>
      </c>
      <c r="S19" s="7" t="inlineStr">
        <is>
          <t>★★★★☆</t>
        </is>
      </c>
      <c r="T19" s="7" t="n">
        <v>7</v>
      </c>
      <c r="U19" s="7" t="n">
        <v>8.5</v>
      </c>
      <c r="V19" s="7" t="n">
        <v>7</v>
      </c>
      <c r="W19" s="7" t="n">
        <v>84.8</v>
      </c>
      <c r="X19" s="8" t="inlineStr">
        <is>
          <t>高毛利、淨現金充裕、自由現金流率逾42%，財務體質極為穩健</t>
        </is>
      </c>
      <c r="Y19" s="10" t="n">
        <v>19.5</v>
      </c>
      <c r="Z19" s="10" t="n">
        <v>777.9</v>
      </c>
      <c r="AA19" s="10" t="n">
        <v>67.2</v>
      </c>
      <c r="AB19" s="10" t="n">
        <v>26.1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2026-10-29</t>
        </is>
      </c>
      <c r="AF19" s="8" t="inlineStr">
        <is>
          <t>報表幣別 CNY → 交易幣別 HKD，匯率 1.1747</t>
        </is>
      </c>
    </row>
    <row r="20">
      <c r="A20" s="7" t="inlineStr">
        <is>
          <t>CN</t>
        </is>
      </c>
      <c r="B20" s="7" t="inlineStr">
        <is>
          <t>605117</t>
        </is>
      </c>
      <c r="C20" s="8" t="inlineStr">
        <is>
          <t>德业股份</t>
        </is>
      </c>
      <c r="D20" s="9" t="n">
        <v>68.88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113.1771</v>
      </c>
      <c r="J20" s="9" t="n">
        <v>55.5052</v>
      </c>
      <c r="K20" s="9" t="n">
        <v>108.9641</v>
      </c>
      <c r="L20" s="10" t="n">
        <v>-39.1</v>
      </c>
      <c r="M20" s="10" t="n">
        <v>25</v>
      </c>
      <c r="N20" s="9" t="n">
        <v>84.8828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7.5</v>
      </c>
      <c r="S20" s="7" t="inlineStr">
        <is>
          <t>★★★★☆</t>
        </is>
      </c>
      <c r="T20" s="7" t="n">
        <v>5</v>
      </c>
      <c r="U20" s="7" t="n">
        <v>8.5</v>
      </c>
      <c r="V20" s="7" t="n">
        <v>8</v>
      </c>
      <c r="W20" s="7" t="n">
        <v>91.5</v>
      </c>
      <c r="X20" s="8" t="inlineStr">
        <is>
          <t>ROIC近59%、自由現金流率32%，財務體質優異</t>
        </is>
      </c>
      <c r="Y20" s="10" t="n">
        <v>38</v>
      </c>
      <c r="Z20" s="10" t="n">
        <v>58.5</v>
      </c>
      <c r="AA20" s="10" t="n">
        <v>38</v>
      </c>
      <c r="AB20" s="10" t="n">
        <v>53.9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2026-10-29</t>
        </is>
      </c>
      <c r="AF20" s="8" t="inlineStr">
        <is>
          <t>行情總股本(1,273,282,072)與財報EPS反推(902,750,991)差異&gt;25%，已改用反推值</t>
        </is>
      </c>
    </row>
    <row r="21">
      <c r="A21" s="7" t="inlineStr">
        <is>
          <t>HK</t>
        </is>
      </c>
      <c r="B21" s="7" t="inlineStr">
        <is>
          <t>02688</t>
        </is>
      </c>
      <c r="C21" s="8" t="inlineStr">
        <is>
          <t>新奥能源</t>
        </is>
      </c>
      <c r="D21" s="9" t="n">
        <v>48.68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84.62430000000001</v>
      </c>
      <c r="J21" s="9" t="n">
        <v>84.017</v>
      </c>
      <c r="K21" s="9" t="n">
        <v>105.064</v>
      </c>
      <c r="L21" s="10" t="n">
        <v>-42.5</v>
      </c>
      <c r="M21" s="10" t="n">
        <v>25</v>
      </c>
      <c r="N21" s="9" t="n">
        <v>63.4682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7.2</v>
      </c>
      <c r="S21" s="7" t="inlineStr">
        <is>
          <t>★★★★☆</t>
        </is>
      </c>
      <c r="T21" s="7" t="n">
        <v>6.5</v>
      </c>
      <c r="U21" s="7" t="n">
        <v>7</v>
      </c>
      <c r="V21" s="7" t="n">
        <v>7.5</v>
      </c>
      <c r="W21" s="7" t="n">
        <v>93.40000000000001</v>
      </c>
      <c r="X21" s="8" t="inlineStr">
        <is>
          <t>十年穩定獲利與派息，現金流充裕但成長動能明顯減弱</t>
        </is>
      </c>
      <c r="Y21" s="10" t="n">
        <v>12.8</v>
      </c>
      <c r="Z21" s="10" t="n">
        <v>11.4</v>
      </c>
      <c r="AA21" s="10" t="n">
        <v>11.9</v>
      </c>
      <c r="AB21" s="10" t="n">
        <v>48.6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2026-10-29</t>
        </is>
      </c>
      <c r="AF21" s="8" t="inlineStr">
        <is>
          <t>缺關鍵科目：d_and_a / 報表幣別 CNY → 交易幣別 HKD，匯率 1.1747</t>
        </is>
      </c>
    </row>
    <row r="22">
      <c r="A22" s="7" t="inlineStr">
        <is>
          <t>HK</t>
        </is>
      </c>
      <c r="B22" s="7" t="inlineStr">
        <is>
          <t>09961</t>
        </is>
      </c>
      <c r="C22" s="8" t="inlineStr">
        <is>
          <t>携程集团-S</t>
        </is>
      </c>
      <c r="D22" s="9" t="n">
        <v>303.6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430.158</v>
      </c>
      <c r="J22" s="9" t="n">
        <v>254.3916</v>
      </c>
      <c r="K22" s="9" t="n">
        <v>424.4921</v>
      </c>
      <c r="L22" s="10" t="n">
        <v>-29.4</v>
      </c>
      <c r="M22" s="10" t="n">
        <v>25</v>
      </c>
      <c r="N22" s="9" t="n">
        <v>322.6185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5.5</v>
      </c>
      <c r="U22" s="7" t="n">
        <v>6.5</v>
      </c>
      <c r="V22" s="7" t="n">
        <v>7</v>
      </c>
      <c r="W22" s="7" t="n">
        <v>89.5</v>
      </c>
      <c r="X22" s="8" t="inlineStr">
        <is>
          <t>高毛利平台、淨現金充裕，惟獲利波動大、派息紀錄薄弱</t>
        </is>
      </c>
      <c r="Y22" s="10" t="n">
        <v>15.2</v>
      </c>
      <c r="Z22" s="10" t="n">
        <v>8</v>
      </c>
      <c r="AA22" s="10" t="n">
        <v>89.8</v>
      </c>
      <c r="AB22" s="10" t="n">
        <v>37.9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2026-10-29</t>
        </is>
      </c>
      <c r="AF22" s="8" t="inlineStr">
        <is>
          <t>報表幣別 CNY → 交易幣別 HKD，匯率 1.1747</t>
        </is>
      </c>
    </row>
    <row r="23">
      <c r="A23" s="7" t="inlineStr">
        <is>
          <t>HK</t>
        </is>
      </c>
      <c r="B23" s="7" t="inlineStr">
        <is>
          <t>00386</t>
        </is>
      </c>
      <c r="C23" s="8" t="inlineStr">
        <is>
          <t>中国石油化工股份</t>
        </is>
      </c>
      <c r="D23" s="9" t="n">
        <v>4.63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9.241899999999999</v>
      </c>
      <c r="J23" s="9" t="n">
        <v>3.2067</v>
      </c>
      <c r="K23" s="9" t="n">
        <v>5.7466</v>
      </c>
      <c r="L23" s="10" t="n">
        <v>-49.9</v>
      </c>
      <c r="M23" s="10" t="n">
        <v>25</v>
      </c>
      <c r="N23" s="9" t="n">
        <v>6.9315</v>
      </c>
      <c r="O23" s="7" t="inlineStr">
        <is>
          <t>是</t>
        </is>
      </c>
      <c r="P23" s="11" t="inlineStr">
        <is>
          <t>便宜</t>
        </is>
      </c>
      <c r="Q23" s="7" t="inlineStr">
        <is>
          <t>非常便宜</t>
        </is>
      </c>
      <c r="R23" s="7" t="n">
        <v>5.8</v>
      </c>
      <c r="S23" s="7" t="inlineStr">
        <is>
          <t>★★★☆☆</t>
        </is>
      </c>
      <c r="T23" s="7" t="n">
        <v>6.5</v>
      </c>
      <c r="U23" s="7" t="n">
        <v>5.5</v>
      </c>
      <c r="V23" s="7" t="n">
        <v>4.5</v>
      </c>
      <c r="W23" s="7" t="n">
        <v>92.90000000000001</v>
      </c>
      <c r="X23" s="8" t="inlineStr">
        <is>
          <t>獲利極薄但現金流穩定，估值深度折價</t>
        </is>
      </c>
      <c r="Y23" s="10" t="n">
        <v>4.2</v>
      </c>
      <c r="Z23" s="10" t="n">
        <v>3.5</v>
      </c>
      <c r="AA23" s="10" t="n">
        <v>23.5</v>
      </c>
      <c r="AB23" s="10" t="n">
        <v>54.4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2026-10-29</t>
        </is>
      </c>
      <c r="AF23" s="8" t="inlineStr">
        <is>
          <t>缺關鍵科目：capex / 報表幣別 CNY → 交易幣別 HKD，匯率 1.1747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100.2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137.3577</v>
      </c>
      <c r="J24" s="9" t="n">
        <v>60.3313</v>
      </c>
      <c r="K24" s="9" t="n">
        <v>130.1691</v>
      </c>
      <c r="L24" s="10" t="n">
        <v>-27.1</v>
      </c>
      <c r="M24" s="10" t="n">
        <v>25</v>
      </c>
      <c r="N24" s="9" t="n">
        <v>103.0183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89.09999999999999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2026-10-29</t>
        </is>
      </c>
      <c r="AF24" s="8" t="inlineStr">
        <is>
          <t>報表幣別 CNY → 交易幣別 HKD，匯率 1.1747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26.58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42.746</v>
      </c>
      <c r="J25" s="9" t="n">
        <v>11.4789</v>
      </c>
      <c r="K25" s="9" t="n">
        <v>52.6105</v>
      </c>
      <c r="L25" s="10" t="n">
        <v>-37.8</v>
      </c>
      <c r="M25" s="10" t="n">
        <v>25</v>
      </c>
      <c r="N25" s="9" t="n">
        <v>32.0595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82.7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2026-10-29</t>
        </is>
      </c>
      <c r="AF25" s="8" t="inlineStr">
        <is>
          <t>報表幣別 CNY → 交易幣別 HKD，匯率 1.1747</t>
        </is>
      </c>
    </row>
    <row r="26">
      <c r="A26" s="7" t="inlineStr">
        <is>
          <t>HK</t>
        </is>
      </c>
      <c r="B26" s="7" t="inlineStr">
        <is>
          <t>00992</t>
        </is>
      </c>
      <c r="C26" s="8" t="inlineStr">
        <is>
          <t>联想集团</t>
        </is>
      </c>
      <c r="D26" s="9" t="n">
        <v>22.74</v>
      </c>
      <c r="E26" s="8" t="inlineStr"/>
      <c r="F26" s="7" t="inlineStr">
        <is>
          <t>mature</t>
        </is>
      </c>
      <c r="G26" s="7" t="inlineStr">
        <is>
          <t>HKD</t>
        </is>
      </c>
      <c r="H26" s="8" t="inlineStr"/>
      <c r="I26" s="9" t="n">
        <v>30.7005</v>
      </c>
      <c r="J26" s="9" t="n">
        <v>16.3139</v>
      </c>
      <c r="K26" s="9" t="n">
        <v>19.8454</v>
      </c>
      <c r="L26" s="10" t="n">
        <v>-25.9</v>
      </c>
      <c r="M26" s="10" t="n">
        <v>25</v>
      </c>
      <c r="N26" s="9" t="n">
        <v>23.0254</v>
      </c>
      <c r="O26" s="7" t="inlineStr">
        <is>
          <t>是</t>
        </is>
      </c>
      <c r="P26" s="11" t="inlineStr">
        <is>
          <t>便宜</t>
        </is>
      </c>
      <c r="Q26" s="7" t="inlineStr">
        <is>
          <t>合理</t>
        </is>
      </c>
      <c r="R26" s="7" t="n">
        <v>4</v>
      </c>
      <c r="S26" s="7" t="inlineStr">
        <is>
          <t>★★☆☆☆</t>
        </is>
      </c>
      <c r="T26" s="7" t="n">
        <v>3</v>
      </c>
      <c r="U26" s="7" t="n">
        <v>5</v>
      </c>
      <c r="V26" s="7" t="n">
        <v>4</v>
      </c>
      <c r="W26" s="7" t="n">
        <v>92.8</v>
      </c>
      <c r="X26" s="8" t="inlineStr">
        <is>
          <t>淨利率不足1%、利息覆蓋僅0.5倍，現金流尚可但槓桿偏高</t>
        </is>
      </c>
      <c r="Y26" s="10" t="n">
        <v>11.1</v>
      </c>
      <c r="Z26" s="10" t="n">
        <v>23.6</v>
      </c>
      <c r="AA26" s="10" t="n">
        <v>15.9</v>
      </c>
      <c r="AB26" s="10" t="n">
        <v>88.40000000000001</v>
      </c>
      <c r="AC26" s="7" t="inlineStr">
        <is>
          <t>2026</t>
        </is>
      </c>
      <c r="AD26" s="7" t="inlineStr">
        <is>
          <t>2026-06-30</t>
        </is>
      </c>
      <c r="AE26" s="7" t="inlineStr">
        <is>
          <t>2026-10-29</t>
        </is>
      </c>
      <c r="AF26" s="8" t="inlineStr">
        <is>
          <t>報表幣別 USD → 交易幣別 HKD，匯率 7.8428</t>
        </is>
      </c>
    </row>
    <row r="27">
      <c r="A27" s="7" t="inlineStr">
        <is>
          <t>US</t>
        </is>
      </c>
      <c r="B27" s="7" t="inlineStr">
        <is>
          <t>JNJ</t>
        </is>
      </c>
      <c r="C27" s="8" t="inlineStr">
        <is>
          <t>强生</t>
        </is>
      </c>
      <c r="D27" s="9" t="n">
        <v>274.54</v>
      </c>
      <c r="E27" s="8" t="inlineStr"/>
      <c r="F27" s="7" t="inlineStr">
        <is>
          <t>mature</t>
        </is>
      </c>
      <c r="G27" s="7" t="inlineStr">
        <is>
          <t>USD</t>
        </is>
      </c>
      <c r="H27" s="8" t="inlineStr"/>
      <c r="I27" s="9" t="n">
        <v>481.3174</v>
      </c>
      <c r="J27" s="9" t="n">
        <v>9.3467</v>
      </c>
      <c r="K27" s="9" t="n">
        <v>17.7865</v>
      </c>
      <c r="L27" s="10" t="n">
        <v>-43</v>
      </c>
      <c r="M27" s="10" t="n">
        <v>25</v>
      </c>
      <c r="N27" s="9" t="n">
        <v>360.9881</v>
      </c>
      <c r="O27" s="7" t="inlineStr">
        <is>
          <t>是</t>
        </is>
      </c>
      <c r="P27" s="11" t="inlineStr">
        <is>
          <t>便宜</t>
        </is>
      </c>
      <c r="Q27" s="7" t="inlineStr">
        <is>
          <t>便宜</t>
        </is>
      </c>
      <c r="R27" s="7" t="n">
        <v>3</v>
      </c>
      <c r="S27" s="7" t="inlineStr">
        <is>
          <t>★★☆☆☆</t>
        </is>
      </c>
      <c r="T27" s="7" t="n">
        <v>2</v>
      </c>
      <c r="U27" s="7" t="n">
        <v>4</v>
      </c>
      <c r="V27" s="7" t="n">
        <v>3</v>
      </c>
      <c r="W27" s="7" t="n">
        <v>93.2</v>
      </c>
      <c r="X27" s="8" t="inlineStr">
        <is>
          <t>高毛利但現金流全缺，格雷厄姆檢查僅過2/7，數據品質存疑</t>
        </is>
      </c>
      <c r="Y27" s="10" t="n">
        <v>8.300000000000001</v>
      </c>
      <c r="Z27" s="10" t="n">
        <v>6.1</v>
      </c>
      <c r="AA27" s="10" t="n">
        <v>70.09999999999999</v>
      </c>
      <c r="AB27" s="10" t="n">
        <v>57.7</v>
      </c>
      <c r="AC27" s="7" t="inlineStr">
        <is>
          <t>2025</t>
        </is>
      </c>
      <c r="AD27" s="7" t="inlineStr">
        <is>
          <t>2026-06-28</t>
        </is>
      </c>
      <c r="AE27" s="7" t="inlineStr">
        <is>
          <t>2026-10-29</t>
        </is>
      </c>
      <c r="AF27" s="8" t="inlineStr">
        <is>
          <t>缺關鍵科目：cfo,capex,d_and_a</t>
        </is>
      </c>
    </row>
    <row r="28">
      <c r="A28" s="12" t="inlineStr">
        <is>
          <t>CN</t>
        </is>
      </c>
      <c r="B28" s="12" t="inlineStr">
        <is>
          <t>000333</t>
        </is>
      </c>
      <c r="C28" s="13" t="inlineStr">
        <is>
          <t>美的集团</t>
        </is>
      </c>
      <c r="D28" s="14" t="n">
        <v>86.48999999999999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107.1664</v>
      </c>
      <c r="J28" s="14" t="n">
        <v>69.0612</v>
      </c>
      <c r="K28" s="14" t="n">
        <v>136.1483</v>
      </c>
      <c r="L28" s="15" t="n">
        <v>-19.3</v>
      </c>
      <c r="M28" s="15" t="n">
        <v>25</v>
      </c>
      <c r="N28" s="14" t="n">
        <v>80.37479999999999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便宜</t>
        </is>
      </c>
      <c r="R28" s="12" t="n">
        <v>8</v>
      </c>
      <c r="S28" s="12" t="inlineStr">
        <is>
          <t>★★★★☆</t>
        </is>
      </c>
      <c r="T28" s="12" t="n">
        <v>7</v>
      </c>
      <c r="U28" s="12" t="n">
        <v>8.5</v>
      </c>
      <c r="V28" s="12" t="n">
        <v>7.5</v>
      </c>
      <c r="W28" s="12" t="n">
        <v>88.7</v>
      </c>
      <c r="X28" s="13" t="inlineStr">
        <is>
          <t>連續十年獲利、ROE逾20%、淨現金為正的穩健現金牛</t>
        </is>
      </c>
      <c r="Y28" s="15" t="n">
        <v>20.9</v>
      </c>
      <c r="Z28" s="15" t="n">
        <v>22.3</v>
      </c>
      <c r="AA28" s="15" t="n">
        <v>26.5</v>
      </c>
      <c r="AB28" s="15" t="n">
        <v>64.90000000000001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2026-10-29</t>
        </is>
      </c>
      <c r="AF28" s="13" t="inlineStr"/>
    </row>
    <row r="29">
      <c r="A29" s="12" t="inlineStr">
        <is>
          <t>HK</t>
        </is>
      </c>
      <c r="B29" s="12" t="inlineStr">
        <is>
          <t>00941</t>
        </is>
      </c>
      <c r="C29" s="13" t="inlineStr">
        <is>
          <t>中国移动</t>
        </is>
      </c>
      <c r="D29" s="14" t="n">
        <v>79.05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90.4136</v>
      </c>
      <c r="J29" s="14" t="n">
        <v>87.8554</v>
      </c>
      <c r="K29" s="14" t="n">
        <v>93.3013</v>
      </c>
      <c r="L29" s="15" t="n">
        <v>-12.6</v>
      </c>
      <c r="M29" s="15" t="n">
        <v>25</v>
      </c>
      <c r="N29" s="14" t="n">
        <v>67.81019999999999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6.7</v>
      </c>
      <c r="S29" s="12" t="inlineStr">
        <is>
          <t>★★★☆☆</t>
        </is>
      </c>
      <c r="T29" s="12" t="n">
        <v>6.5</v>
      </c>
      <c r="U29" s="12" t="n">
        <v>7</v>
      </c>
      <c r="V29" s="12" t="n">
        <v>6.5</v>
      </c>
      <c r="W29" s="12" t="n">
        <v>98.90000000000001</v>
      </c>
      <c r="X29" s="13" t="inlineStr">
        <is>
          <t>十年連續獲利、極低負債，惟成長動能已明顯趨緩</t>
        </is>
      </c>
      <c r="Y29" s="15" t="n">
        <v>9</v>
      </c>
      <c r="Z29" s="15" t="n">
        <v>8.699999999999999</v>
      </c>
      <c r="AA29" s="15" t="n">
        <v>67.59999999999999</v>
      </c>
      <c r="AB29" s="15" t="n">
        <v>32.2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2026-10-29</t>
        </is>
      </c>
      <c r="AF29" s="13" t="inlineStr">
        <is>
          <t>報表幣別 CNY → 交易幣別 HKD，匯率 1.1747</t>
        </is>
      </c>
    </row>
    <row r="30">
      <c r="A30" s="12" t="inlineStr">
        <is>
          <t>CN</t>
        </is>
      </c>
      <c r="B30" s="12" t="inlineStr">
        <is>
          <t>300760</t>
        </is>
      </c>
      <c r="C30" s="13" t="inlineStr">
        <is>
          <t>迈瑞医疗</t>
        </is>
      </c>
      <c r="D30" s="14" t="n">
        <v>177.02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200.2989</v>
      </c>
      <c r="J30" s="14" t="n">
        <v>116.619</v>
      </c>
      <c r="K30" s="14" t="n">
        <v>176.872</v>
      </c>
      <c r="L30" s="15" t="n">
        <v>-11.6</v>
      </c>
      <c r="M30" s="15" t="n">
        <v>25</v>
      </c>
      <c r="N30" s="14" t="n">
        <v>150.2241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94.59999999999999</v>
      </c>
      <c r="X30" s="13" t="inlineStr">
        <is>
          <t>高毛利、低負債、現金充沛，但營收與淨利成長明顯減速</t>
        </is>
      </c>
      <c r="Y30" s="15" t="n">
        <v>20.4</v>
      </c>
      <c r="Z30" s="15" t="n">
        <v>37.8</v>
      </c>
      <c r="AA30" s="15" t="n">
        <v>59.9</v>
      </c>
      <c r="AB30" s="15" t="n">
        <v>25.5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2026-10-29</t>
        </is>
      </c>
      <c r="AF30" s="13" t="inlineStr"/>
    </row>
    <row r="31">
      <c r="A31" s="12" t="inlineStr">
        <is>
          <t>CN</t>
        </is>
      </c>
      <c r="B31" s="12" t="inlineStr">
        <is>
          <t>600519</t>
        </is>
      </c>
      <c r="C31" s="13" t="inlineStr">
        <is>
          <t>贵州茅台</t>
        </is>
      </c>
      <c r="D31" s="14" t="n">
        <v>1347.41</v>
      </c>
      <c r="E31" s="13" t="inlineStr"/>
      <c r="F31" s="12" t="inlineStr">
        <is>
          <t>mature</t>
        </is>
      </c>
      <c r="G31" s="12" t="inlineStr">
        <is>
          <t>CNY</t>
        </is>
      </c>
      <c r="H31" s="13" t="inlineStr"/>
      <c r="I31" s="14" t="n">
        <v>1186.8334</v>
      </c>
      <c r="J31" s="14" t="n">
        <v>838.7796</v>
      </c>
      <c r="K31" s="14" t="n">
        <v>2058.441</v>
      </c>
      <c r="L31" s="15" t="n">
        <v>13.5</v>
      </c>
      <c r="M31" s="15" t="n">
        <v>25</v>
      </c>
      <c r="N31" s="14" t="n">
        <v>890.1251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6.5</v>
      </c>
      <c r="S31" s="12" t="inlineStr">
        <is>
          <t>★★★☆☆</t>
        </is>
      </c>
      <c r="T31" s="12" t="n">
        <v>5</v>
      </c>
      <c r="U31" s="12" t="n">
        <v>7.5</v>
      </c>
      <c r="V31" s="12" t="n">
        <v>6.5</v>
      </c>
      <c r="W31" s="12" t="n">
        <v>81.5</v>
      </c>
      <c r="X31" s="13" t="inlineStr">
        <is>
          <t>毛利率90%、ROE穩定33%、近乎零負債，財務堡壘級體質</t>
        </is>
      </c>
      <c r="Y31" s="15" t="n">
        <v>33.6</v>
      </c>
      <c r="Z31" s="15" t="n">
        <v>42.6</v>
      </c>
      <c r="AA31" s="15" t="n">
        <v>90.40000000000001</v>
      </c>
      <c r="AB31" s="15" t="n">
        <v>15.2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2026-10-29</t>
        </is>
      </c>
      <c r="AF31" s="13" t="inlineStr"/>
    </row>
    <row r="32">
      <c r="A32" s="12" t="inlineStr">
        <is>
          <t>HK</t>
        </is>
      </c>
      <c r="B32" s="12" t="inlineStr">
        <is>
          <t>00788</t>
        </is>
      </c>
      <c r="C32" s="13" t="inlineStr">
        <is>
          <t>中国铁塔</t>
        </is>
      </c>
      <c r="D32" s="14" t="n">
        <v>8.945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11.2787</v>
      </c>
      <c r="J32" s="14" t="n">
        <v>4.6093</v>
      </c>
      <c r="K32" s="14" t="n">
        <v>14.9243</v>
      </c>
      <c r="L32" s="15" t="n">
        <v>-20.7</v>
      </c>
      <c r="M32" s="15" t="n">
        <v>25</v>
      </c>
      <c r="N32" s="14" t="n">
        <v>8.459099999999999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6.2</v>
      </c>
      <c r="S32" s="12" t="inlineStr">
        <is>
          <t>★★★☆☆</t>
        </is>
      </c>
      <c r="T32" s="12" t="n">
        <v>6.5</v>
      </c>
      <c r="U32" s="12" t="n">
        <v>6</v>
      </c>
      <c r="V32" s="12" t="n">
        <v>5.5</v>
      </c>
      <c r="W32" s="12" t="n">
        <v>83.5</v>
      </c>
      <c r="X32" s="13" t="inlineStr">
        <is>
          <t>毛利率92%現金流充沛，惟ROIC未達資本成本，成長動能偏弱</t>
        </is>
      </c>
      <c r="Y32" s="15" t="n">
        <v>6.5</v>
      </c>
      <c r="Z32" s="15" t="n">
        <v>5</v>
      </c>
      <c r="AA32" s="15" t="n">
        <v>92.3</v>
      </c>
      <c r="AB32" s="15" t="n">
        <v>41.4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2026-10-29</t>
        </is>
      </c>
      <c r="AF32" s="13" t="inlineStr">
        <is>
          <t>報表幣別 CNY → 交易幣別 HKD，匯率 1.1747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4" t="n">
        <v>25.72</v>
      </c>
      <c r="E33" s="13" t="inlineStr"/>
      <c r="F33" s="12" t="inlineStr">
        <is>
          <t>growth</t>
        </is>
      </c>
      <c r="G33" s="12" t="inlineStr">
        <is>
          <t>HKD</t>
        </is>
      </c>
      <c r="H33" s="13" t="inlineStr"/>
      <c r="I33" s="14" t="n">
        <v>28.9916</v>
      </c>
      <c r="J33" s="14" t="n">
        <v>17.561</v>
      </c>
      <c r="K33" s="14" t="n">
        <v>26.655</v>
      </c>
      <c r="L33" s="15" t="n">
        <v>-11.3</v>
      </c>
      <c r="M33" s="15" t="n">
        <v>25</v>
      </c>
      <c r="N33" s="14" t="n">
        <v>21.7437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5.8</v>
      </c>
      <c r="S33" s="12" t="inlineStr">
        <is>
          <t>★★★☆☆</t>
        </is>
      </c>
      <c r="T33" s="12" t="n">
        <v>3</v>
      </c>
      <c r="U33" s="12" t="n">
        <v>6.5</v>
      </c>
      <c r="V33" s="12" t="n">
        <v>6</v>
      </c>
      <c r="W33" s="12" t="n">
        <v>94.40000000000001</v>
      </c>
      <c r="X33" s="13" t="inlineStr">
        <is>
          <t>營收高成長但自由現金流轉負，低負債下獲利波動仍大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2026-10-29</t>
        </is>
      </c>
      <c r="AF33" s="13" t="inlineStr">
        <is>
          <t>報表幣別 CNY → 交易幣別 HKD，匯率 1.1747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340.2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387.6121</v>
      </c>
      <c r="J34" s="14" t="n">
        <v>171.6875</v>
      </c>
      <c r="K34" s="14" t="n">
        <v>311.9973</v>
      </c>
      <c r="L34" s="15" t="n">
        <v>-12.2</v>
      </c>
      <c r="M34" s="15" t="n">
        <v>25</v>
      </c>
      <c r="N34" s="14" t="n">
        <v>290.7091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2026-10-29</t>
        </is>
      </c>
      <c r="AF34" s="13" t="inlineStr">
        <is>
          <t>缺關鍵科目：d_and_a / 報表幣別 CNY → 交易幣別 HKD，匯率 1.1747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24.18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23.0915</v>
      </c>
      <c r="J35" s="14" t="n">
        <v>8.570600000000001</v>
      </c>
      <c r="K35" s="14" t="n">
        <v>15.399</v>
      </c>
      <c r="L35" s="15" t="n">
        <v>4.7</v>
      </c>
      <c r="M35" s="15" t="n">
        <v>25</v>
      </c>
      <c r="N35" s="14" t="n">
        <v>17.3187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2026-10-29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3.455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2.3365</v>
      </c>
      <c r="J37" s="19" t="n">
        <v>1.8275</v>
      </c>
      <c r="K37" s="19" t="n">
        <v>4.016</v>
      </c>
      <c r="L37" s="20" t="n">
        <v>47.9</v>
      </c>
      <c r="M37" s="20" t="n">
        <v>25</v>
      </c>
      <c r="N37" s="19" t="n">
        <v>1.7524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2026-10-29</t>
        </is>
      </c>
      <c r="AF37" s="18" t="inlineStr">
        <is>
          <t>缺關鍵科目：d_and_a / 報表幣別 CNY → 交易幣別 HKD，匯率 1.1747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29.63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20.5336</v>
      </c>
      <c r="J38" s="19" t="n">
        <v>16.2467</v>
      </c>
      <c r="K38" s="19" t="n">
        <v>22.7622</v>
      </c>
      <c r="L38" s="20" t="n">
        <v>44.3</v>
      </c>
      <c r="M38" s="20" t="n">
        <v>25</v>
      </c>
      <c r="N38" s="19" t="n">
        <v>15.4002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2026-10-29</t>
        </is>
      </c>
      <c r="AF38" s="18" t="inlineStr"/>
    </row>
    <row r="39">
      <c r="A39" s="17" t="inlineStr">
        <is>
          <t>HK</t>
        </is>
      </c>
      <c r="B39" s="17" t="inlineStr">
        <is>
          <t>00005</t>
        </is>
      </c>
      <c r="C39" s="18" t="inlineStr">
        <is>
          <t>汇丰控股</t>
        </is>
      </c>
      <c r="D39" s="19" t="n">
        <v>136.7</v>
      </c>
      <c r="E39" s="18" t="inlineStr"/>
      <c r="F39" s="17" t="inlineStr">
        <is>
          <t>financial</t>
        </is>
      </c>
      <c r="G39" s="17" t="inlineStr">
        <is>
          <t>HKD</t>
        </is>
      </c>
      <c r="H39" s="18" t="inlineStr"/>
      <c r="I39" s="19" t="n">
        <v>92.56789999999999</v>
      </c>
      <c r="J39" s="19" t="n">
        <v>50.5837</v>
      </c>
      <c r="K39" s="19" t="n">
        <v>147.3066</v>
      </c>
      <c r="L39" s="20" t="n">
        <v>47.7</v>
      </c>
      <c r="M39" s="20" t="n">
        <v>25</v>
      </c>
      <c r="N39" s="19" t="n">
        <v>69.4259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70.40000000000001</v>
      </c>
      <c r="X39" s="18" t="inlineStr">
        <is>
          <t>十年持續獲利、現金流充沛，但槓桿極高且派息率異常</t>
        </is>
      </c>
      <c r="Y39" s="20" t="n">
        <v>12.3</v>
      </c>
      <c r="Z39" s="20" t="n">
        <v>12.1</v>
      </c>
      <c r="AA39" s="20" t="inlineStr"/>
      <c r="AB39" s="20" t="n">
        <v>94.3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2026-10-29</t>
        </is>
      </c>
      <c r="AF39" s="18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0">
      <c r="A40" s="17" t="inlineStr">
        <is>
          <t>CN</t>
        </is>
      </c>
      <c r="B40" s="17" t="inlineStr">
        <is>
          <t>601138</t>
        </is>
      </c>
      <c r="C40" s="18" t="inlineStr">
        <is>
          <t>工业富联</t>
        </is>
      </c>
      <c r="D40" s="19" t="n">
        <v>46.35</v>
      </c>
      <c r="E40" s="18" t="inlineStr"/>
      <c r="F40" s="17" t="inlineStr">
        <is>
          <t>growth</t>
        </is>
      </c>
      <c r="G40" s="17" t="inlineStr">
        <is>
          <t>CNY</t>
        </is>
      </c>
      <c r="H40" s="18" t="inlineStr"/>
      <c r="I40" s="19" t="n">
        <v>35.8458</v>
      </c>
      <c r="J40" s="19" t="n">
        <v>25.7507</v>
      </c>
      <c r="K40" s="19" t="n">
        <v>36.7174</v>
      </c>
      <c r="L40" s="20" t="n">
        <v>29.3</v>
      </c>
      <c r="M40" s="20" t="n">
        <v>25</v>
      </c>
      <c r="N40" s="19" t="n">
        <v>26.8844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3.5</v>
      </c>
      <c r="S40" s="17" t="inlineStr">
        <is>
          <t>★★☆☆☆</t>
        </is>
      </c>
      <c r="T40" s="17" t="n">
        <v>3</v>
      </c>
      <c r="U40" s="17" t="n">
        <v>4</v>
      </c>
      <c r="V40" s="17" t="n">
        <v>4</v>
      </c>
      <c r="W40" s="17" t="n">
        <v>92.3</v>
      </c>
      <c r="X40" s="18" t="inlineStr">
        <is>
          <t>營收高增但自由現金流為負，薄利模式高度依賴資本開支擴張</t>
        </is>
      </c>
      <c r="Y40" s="20" t="n">
        <v>26.7</v>
      </c>
      <c r="Z40" s="20" t="n">
        <v>25.6</v>
      </c>
      <c r="AA40" s="20" t="n">
        <v>7.2</v>
      </c>
      <c r="AB40" s="20" t="n">
        <v>65.7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2026-10-29</t>
        </is>
      </c>
      <c r="AF40" s="18" t="inlineStr">
        <is>
          <t>缺關鍵科目：d_and_a</t>
        </is>
      </c>
    </row>
    <row r="41">
      <c r="A41" s="17" t="inlineStr">
        <is>
          <t>HK</t>
        </is>
      </c>
      <c r="B41" s="17" t="inlineStr">
        <is>
          <t>06613</t>
        </is>
      </c>
      <c r="C41" s="18" t="inlineStr">
        <is>
          <t>蓝思科技</t>
        </is>
      </c>
      <c r="D41" s="19" t="n">
        <v>14.18</v>
      </c>
      <c r="E41" s="18" t="inlineStr"/>
      <c r="F41" s="17" t="inlineStr">
        <is>
          <t>mature</t>
        </is>
      </c>
      <c r="G41" s="17" t="inlineStr">
        <is>
          <t>HKD</t>
        </is>
      </c>
      <c r="H41" s="18" t="inlineStr"/>
      <c r="I41" s="19" t="n">
        <v>12.2318</v>
      </c>
      <c r="J41" s="19" t="n">
        <v>6.6375</v>
      </c>
      <c r="K41" s="19" t="n">
        <v>9.7699</v>
      </c>
      <c r="L41" s="20" t="n">
        <v>15.9</v>
      </c>
      <c r="M41" s="20" t="n">
        <v>25</v>
      </c>
      <c r="N41" s="19" t="n">
        <v>9.1738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</v>
      </c>
      <c r="S41" s="17" t="inlineStr">
        <is>
          <t>★★☆☆☆</t>
        </is>
      </c>
      <c r="T41" s="17" t="n">
        <v>2.5</v>
      </c>
      <c r="U41" s="17" t="n">
        <v>4</v>
      </c>
      <c r="V41" s="17" t="n">
        <v>3</v>
      </c>
      <c r="W41" s="17" t="n">
        <v>85.2</v>
      </c>
      <c r="X41" s="18" t="inlineStr">
        <is>
          <t>獲利穩定但利潤率薄，資本密集致自由現金流極弱</t>
        </is>
      </c>
      <c r="Y41" s="20" t="n">
        <v>6.5</v>
      </c>
      <c r="Z41" s="20" t="n">
        <v>6.3</v>
      </c>
      <c r="AA41" s="20" t="n">
        <v>15.7</v>
      </c>
      <c r="AB41" s="20" t="n">
        <v>37.5</v>
      </c>
      <c r="AC41" s="17" t="inlineStr">
        <is>
          <t>2025</t>
        </is>
      </c>
      <c r="AD41" s="17" t="inlineStr">
        <is>
          <t>2026-06-30</t>
        </is>
      </c>
      <c r="AE41" s="17" t="inlineStr">
        <is>
          <t>2026-10-29</t>
        </is>
      </c>
      <c r="AF41" s="18" t="inlineStr">
        <is>
          <t>報表幣別 CNY → 交易幣別 HKD，匯率 1.1747</t>
        </is>
      </c>
    </row>
    <row r="42">
      <c r="A42" s="17" t="inlineStr">
        <is>
          <t>HK</t>
        </is>
      </c>
      <c r="B42" s="17" t="inlineStr">
        <is>
          <t>09988</t>
        </is>
      </c>
      <c r="C42" s="18" t="inlineStr">
        <is>
          <t>阿里巴巴-W</t>
        </is>
      </c>
      <c r="D42" s="19" t="n">
        <v>97.25</v>
      </c>
      <c r="E42" s="18" t="inlineStr"/>
      <c r="F42" s="17" t="inlineStr">
        <is>
          <t>mature</t>
        </is>
      </c>
      <c r="G42" s="17" t="inlineStr">
        <is>
          <t>HKD</t>
        </is>
      </c>
      <c r="H42" s="18" t="inlineStr"/>
      <c r="I42" s="19" t="n">
        <v>68.82689999999999</v>
      </c>
      <c r="J42" s="19" t="n">
        <v>59.0796</v>
      </c>
      <c r="K42" s="19" t="n">
        <v>64.8784</v>
      </c>
      <c r="L42" s="20" t="n">
        <v>41.3</v>
      </c>
      <c r="M42" s="20" t="n">
        <v>25</v>
      </c>
      <c r="N42" s="19" t="n">
        <v>51.6202</v>
      </c>
      <c r="O42" s="17" t="inlineStr">
        <is>
          <t>否</t>
        </is>
      </c>
      <c r="P42" s="21" t="inlineStr">
        <is>
          <t>昂貴</t>
        </is>
      </c>
      <c r="Q42" s="17" t="inlineStr">
        <is>
          <t>非常昂貴</t>
        </is>
      </c>
      <c r="R42" s="17" t="n">
        <v>3</v>
      </c>
      <c r="S42" s="17" t="inlineStr">
        <is>
          <t>★★☆☆☆</t>
        </is>
      </c>
      <c r="T42" s="17" t="n">
        <v>2.5</v>
      </c>
      <c r="U42" s="17" t="n">
        <v>3.5</v>
      </c>
      <c r="V42" s="17" t="n">
        <v>3</v>
      </c>
      <c r="W42" s="17" t="n">
        <v>93.40000000000001</v>
      </c>
      <c r="X42" s="18" t="inlineStr">
        <is>
          <t>自由現金流轉負、營業利潤率驟降至2.9%，財務體質明顯承壓</t>
        </is>
      </c>
      <c r="Y42" s="20" t="n">
        <v>7</v>
      </c>
      <c r="Z42" s="20" t="n">
        <v>2.4</v>
      </c>
      <c r="AA42" s="20" t="n">
        <v>38.2</v>
      </c>
      <c r="AB42" s="20" t="n">
        <v>43.2</v>
      </c>
      <c r="AC42" s="17" t="inlineStr">
        <is>
          <t>2026</t>
        </is>
      </c>
      <c r="AD42" s="17" t="inlineStr">
        <is>
          <t>2026-06-30</t>
        </is>
      </c>
      <c r="AE42" s="17" t="inlineStr">
        <is>
          <t>2026-10-29</t>
        </is>
      </c>
      <c r="AF42" s="18" t="inlineStr">
        <is>
          <t>報表幣別 CNY → 交易幣別 HKD，匯率 1.1747</t>
        </is>
      </c>
    </row>
    <row r="43">
      <c r="A43" s="22" t="inlineStr">
        <is>
          <t>HK</t>
        </is>
      </c>
      <c r="B43" s="22" t="inlineStr">
        <is>
          <t>02359</t>
        </is>
      </c>
      <c r="C43" s="23" t="inlineStr">
        <is>
          <t>药明康德</t>
        </is>
      </c>
      <c r="D43" s="24" t="n">
        <v>189</v>
      </c>
      <c r="E43" s="23" t="inlineStr"/>
      <c r="F43" s="22" t="inlineStr">
        <is>
          <t>growth</t>
        </is>
      </c>
      <c r="G43" s="22" t="inlineStr">
        <is>
          <t>HKD</t>
        </is>
      </c>
      <c r="H43" s="23" t="inlineStr"/>
      <c r="I43" s="24" t="n">
        <v>108.5737</v>
      </c>
      <c r="J43" s="24" t="n">
        <v>76.81480000000001</v>
      </c>
      <c r="K43" s="24" t="n">
        <v>112.8475</v>
      </c>
      <c r="L43" s="25" t="n">
        <v>74.09999999999999</v>
      </c>
      <c r="M43" s="25" t="n">
        <v>25</v>
      </c>
      <c r="N43" s="24" t="n">
        <v>81.4303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4.2</v>
      </c>
      <c r="S43" s="22" t="inlineStr">
        <is>
          <t>★★☆☆☆</t>
        </is>
      </c>
      <c r="T43" s="22" t="n">
        <v>3</v>
      </c>
      <c r="U43" s="22" t="n">
        <v>5.5</v>
      </c>
      <c r="V43" s="22" t="n">
        <v>4</v>
      </c>
      <c r="W43" s="22" t="n">
        <v>94</v>
      </c>
      <c r="X43" s="23" t="inlineStr">
        <is>
          <t>高毛利強現金流體質一流，惟估值遠超內在價值</t>
        </is>
      </c>
      <c r="Y43" s="25" t="n">
        <v>26.4</v>
      </c>
      <c r="Z43" s="25" t="n">
        <v>45.5</v>
      </c>
      <c r="AA43" s="25" t="n">
        <v>52</v>
      </c>
      <c r="AB43" s="25" t="n">
        <v>27.8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2026-10-29</t>
        </is>
      </c>
      <c r="AF43" s="23" t="inlineStr">
        <is>
          <t>報表幣別 CNY → 交易幣別 HKD，匯率 1.1747</t>
        </is>
      </c>
    </row>
    <row r="44">
      <c r="A44" s="22" t="inlineStr">
        <is>
          <t>CN</t>
        </is>
      </c>
      <c r="B44" s="22" t="inlineStr">
        <is>
          <t>600276</t>
        </is>
      </c>
      <c r="C44" s="23" t="inlineStr">
        <is>
          <t>恒瑞医药</t>
        </is>
      </c>
      <c r="D44" s="24" t="n">
        <v>48.69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28.4781</v>
      </c>
      <c r="J44" s="24" t="n">
        <v>16.1528</v>
      </c>
      <c r="K44" s="24" t="n">
        <v>22.6237</v>
      </c>
      <c r="L44" s="25" t="n">
        <v>71</v>
      </c>
      <c r="M44" s="25" t="n">
        <v>25</v>
      </c>
      <c r="N44" s="24" t="n">
        <v>21.3585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3.8</v>
      </c>
      <c r="S44" s="22" t="inlineStr">
        <is>
          <t>★★☆☆☆</t>
        </is>
      </c>
      <c r="T44" s="22" t="n">
        <v>4</v>
      </c>
      <c r="U44" s="22" t="n">
        <v>4.5</v>
      </c>
      <c r="V44" s="22" t="n">
        <v>3</v>
      </c>
      <c r="W44" s="22" t="n">
        <v>95.90000000000001</v>
      </c>
      <c r="X44" s="23" t="inlineStr">
        <is>
          <t>毛利率86%、淨現金387億，財務極穩健但估值嚴重偏離</t>
        </is>
      </c>
      <c r="Y44" s="25" t="n">
        <v>12</v>
      </c>
      <c r="Z44" s="25" t="n">
        <v>31</v>
      </c>
      <c r="AA44" s="25" t="n">
        <v>86.09999999999999</v>
      </c>
      <c r="AB44" s="25" t="n">
        <v>8.199999999999999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2026-10-29</t>
        </is>
      </c>
      <c r="AF44" s="23" t="inlineStr"/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129.27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50.5432</v>
      </c>
      <c r="J45" s="24" t="n">
        <v>39.5892</v>
      </c>
      <c r="K45" s="24" t="n">
        <v>50.2832</v>
      </c>
      <c r="L45" s="25" t="n">
        <v>155.8</v>
      </c>
      <c r="M45" s="25" t="n">
        <v>25</v>
      </c>
      <c r="N45" s="24" t="n">
        <v>37.9074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2026-10-29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363.8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132.1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2026-10-29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226.9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81.6031</v>
      </c>
      <c r="J47" s="24" t="n">
        <v>56.4053</v>
      </c>
      <c r="K47" s="24" t="n">
        <v>81.46259999999999</v>
      </c>
      <c r="L47" s="25" t="n">
        <v>178.1</v>
      </c>
      <c r="M47" s="25" t="n">
        <v>25</v>
      </c>
      <c r="N47" s="24" t="n">
        <v>61.2023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2026-10-29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349.03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</v>
      </c>
      <c r="J48" s="24" t="n">
        <v>9.446</v>
      </c>
      <c r="K48" s="24" t="n">
        <v>34.7808</v>
      </c>
      <c r="L48" s="25" t="n">
        <v>610</v>
      </c>
      <c r="M48" s="25" t="n">
        <v>25</v>
      </c>
      <c r="N48" s="24" t="n">
        <v>36.87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2026-10-29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297.6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2758.9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2026-10-29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286.14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62.8562</v>
      </c>
      <c r="J52" s="24" t="n">
        <v>2.0177</v>
      </c>
      <c r="K52" s="24" t="n">
        <v>15.3128</v>
      </c>
      <c r="L52" s="25" t="n">
        <v>355.2</v>
      </c>
      <c r="M52" s="25" t="n">
        <v>25</v>
      </c>
      <c r="N52" s="24" t="n">
        <v>47.1422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2026-10-29</t>
        </is>
      </c>
      <c r="AF52" s="23" t="inlineStr">
        <is>
          <t>行情總股本(12,294,000,000)與財報EPS反推(145,707,017,544)差異&gt;25%，已改用反推值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523.65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541.2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2026-10-29</t>
        </is>
      </c>
      <c r="AF54" s="23" t="inlineStr">
        <is>
          <t>行情總股本(7,426,194,552)與財報EPS反推(91,781,535,270)差異&gt;25%，已改用反推值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46.1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6.8882</v>
      </c>
      <c r="J56" s="24" t="n">
        <v>3.7773</v>
      </c>
      <c r="K56" s="24" t="n">
        <v>10.3193</v>
      </c>
      <c r="L56" s="25" t="n">
        <v>569.3</v>
      </c>
      <c r="M56" s="25" t="n">
        <v>25</v>
      </c>
      <c r="N56" s="24" t="n">
        <v>5.1661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82.90000000000001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2026-10-29</t>
        </is>
      </c>
      <c r="AF56" s="23" t="inlineStr">
        <is>
          <t>報表幣別 USD → 交易幣別 HKD，匯率 7.8428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698.97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10363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2026-10-29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70.05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14.0887</v>
      </c>
      <c r="J63" s="24" t="n">
        <v>4.828</v>
      </c>
      <c r="K63" s="24" t="n">
        <v>58.6607</v>
      </c>
      <c r="L63" s="25" t="n">
        <v>397.2</v>
      </c>
      <c r="M63" s="25" t="n">
        <v>25</v>
      </c>
      <c r="N63" s="24" t="n">
        <v>10.5665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2026-10-29</t>
        </is>
      </c>
      <c r="AF63" s="23" t="inlineStr">
        <is>
          <t>報表幣別 CNY → 交易幣別 HKD，匯率 1.1747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0.097</v>
      </c>
      <c r="J65" s="24" t="n">
        <v>0.08989999999999999</v>
      </c>
      <c r="K65" s="24" t="n">
        <v>0.1256</v>
      </c>
      <c r="L65" s="25" t="n">
        <v>1085.6</v>
      </c>
      <c r="M65" s="25" t="n">
        <v>25</v>
      </c>
      <c r="N65" s="24" t="n">
        <v>0.0728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2026-10-29</t>
        </is>
      </c>
      <c r="AF65" s="23" t="inlineStr">
        <is>
          <t>報表幣別 CNY → 交易幣別 HKD，匯率 1.1747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4.545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159.4783</v>
      </c>
      <c r="J67" s="29" t="n">
        <v>4.685</v>
      </c>
      <c r="K67" s="29" t="n">
        <v>62.7101</v>
      </c>
      <c r="L67" s="30" t="n">
        <v>-97.2</v>
      </c>
      <c r="M67" s="30" t="n">
        <v>35</v>
      </c>
      <c r="N67" s="29" t="n">
        <v>103.6609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2026-10-29</t>
        </is>
      </c>
      <c r="AF67" s="28" t="inlineStr">
        <is>
          <t>報表幣別 CNY → 交易幣別 HKD，匯率 1.1747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4.98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4.0478</v>
      </c>
      <c r="J69" s="29" t="n">
        <v>2.8199</v>
      </c>
      <c r="K69" s="29" t="n">
        <v>79.6524</v>
      </c>
      <c r="L69" s="30" t="n">
        <v>23</v>
      </c>
      <c r="M69" s="30" t="n">
        <v>25</v>
      </c>
      <c r="N69" s="29" t="n">
        <v>3.0359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2026-10-29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0.15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2026-10-29</t>
        </is>
      </c>
      <c r="AF70" s="28" t="inlineStr">
        <is>
          <t>行情總股本(46,852,993,436)與財報EPS反推(27,175,000,000)差異&gt;25%，已改用反推值 / 缺關鍵科目：capex / 報表幣別 CNY → 交易幣別 HKD，匯率 1.1747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136.7</v>
      </c>
      <c r="D2" s="34" t="n">
        <v>92.56789999999999</v>
      </c>
      <c r="E2" s="34" t="n">
        <v>44.8385</v>
      </c>
      <c r="F2" s="34" t="n">
        <v>212.5035</v>
      </c>
      <c r="G2" s="34" t="inlineStr"/>
      <c r="H2" s="34" t="n">
        <v>147.3066</v>
      </c>
      <c r="I2" s="34" t="inlineStr"/>
      <c r="J2" s="34" t="inlineStr"/>
      <c r="K2" s="34" t="n">
        <v>94.6324</v>
      </c>
      <c r="L2" s="34" t="n">
        <v>50.5837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4.98</v>
      </c>
      <c r="D3" s="34" t="n">
        <v>4.0478</v>
      </c>
      <c r="E3" s="34" t="inlineStr"/>
      <c r="F3" s="34" t="inlineStr"/>
      <c r="G3" s="34" t="inlineStr"/>
      <c r="H3" s="34" t="n">
        <v>7.7314</v>
      </c>
      <c r="I3" s="34" t="n">
        <v>2.8199</v>
      </c>
      <c r="J3" s="34" t="inlineStr"/>
      <c r="K3" s="34" t="inlineStr"/>
      <c r="L3" s="34" t="n">
        <v>79.6524</v>
      </c>
      <c r="M3" s="34" t="n">
        <v>5.8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0.058, "淨現金": -63645000000.0}, "damodaran_fcff": {"銷售/資本": 0.8, "g1": 0.0373, "永續g": 0.03, "目標營業利益率": 0.1444, "WACC": 0.058,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4" t="n">
        <v>0.097</v>
      </c>
      <c r="E4" s="34" t="inlineStr"/>
      <c r="F4" s="34" t="inlineStr"/>
      <c r="G4" s="34" t="n">
        <v>0.08989999999999999</v>
      </c>
      <c r="H4" s="34" t="inlineStr"/>
      <c r="I4" s="34" t="inlineStr"/>
      <c r="J4" s="34" t="inlineStr"/>
      <c r="K4" s="34" t="n">
        <v>0.1256</v>
      </c>
      <c r="L4" s="34" t="inlineStr"/>
      <c r="M4" s="34" t="n">
        <v>10.18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86.48999999999999</v>
      </c>
      <c r="D5" s="34" t="n">
        <v>107.1664</v>
      </c>
      <c r="E5" s="34" t="n">
        <v>58.4343</v>
      </c>
      <c r="F5" s="34" t="n">
        <v>147.7494</v>
      </c>
      <c r="G5" s="34" t="n">
        <v>2.5938</v>
      </c>
      <c r="H5" s="34" t="n">
        <v>163.034</v>
      </c>
      <c r="I5" s="34" t="n">
        <v>69.0612</v>
      </c>
      <c r="J5" s="34" t="n">
        <v>88.25279999999999</v>
      </c>
      <c r="K5" s="34" t="n">
        <v>136.1483</v>
      </c>
      <c r="L5" s="34" t="n">
        <v>111.3541</v>
      </c>
      <c r="M5" s="34" t="n">
        <v>8.210000000000001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27.8968}, "graham_formula": {"g(上限10%)": 0.081, "Y公司債": 0.04}, "ncav": {"NCAV/股": 2.5938, "NNWC/股": -33.089, "net-net買點": 1.73}, "buffett_oe": {"業主盈餘(TTM,中位3年)": 51588560000.0, "g1": 0.1206, "永續g": 0.021, "門檻報酬r": 0.085, "非營運投資(折70%)": 3239763800.0}, "epv": {"常態營業利益率": 0.1079, "常態NOPAT": 41817135357.0, "WACC": 0.0821, "淨現金": 14272378000.0}, "damodaran_fcff": {"銷售/資本": 2.353, "g1": 0.0987, "永續g": 0.021, "目標營業利益率": 0.1079, "WACC": 0.0821,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37.44</v>
      </c>
      <c r="D6" s="34" t="n">
        <v>142.594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62.6289</v>
      </c>
      <c r="J6" s="34" t="n">
        <v>48.7596</v>
      </c>
      <c r="K6" s="34" t="n">
        <v>808.3745</v>
      </c>
      <c r="L6" s="34" t="n">
        <v>151.0522</v>
      </c>
      <c r="M6" s="34" t="n">
        <v>6.99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0.0699, "淨現金": 44611454148.0}, "damodaran_fcff": {"銷售/資本": 1.571, "g1": -0.0345, "永續g": 0.021, "目標營業利益率": 0.1603, "WACC": 0.0699,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24.18</v>
      </c>
      <c r="D7" s="34" t="n">
        <v>23.0915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10.2665</v>
      </c>
      <c r="J7" s="34" t="n">
        <v>8.2759</v>
      </c>
      <c r="K7" s="34" t="n">
        <v>8.570600000000001</v>
      </c>
      <c r="L7" s="34" t="n">
        <v>13.1089</v>
      </c>
      <c r="M7" s="34" t="n">
        <v>8.19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0.0819, "淨現金": -906634291.0}, "damodaran_fcff": {"銷售/資本": 1.113, "g1": 0.1305, "永續g": 0.021, "目標營業利益率": 0.0665, "WACC": 0.0819,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</v>
      </c>
      <c r="D8" s="34" t="n">
        <v>3.8397</v>
      </c>
      <c r="E8" s="34" t="n">
        <v>2.8284</v>
      </c>
      <c r="F8" s="34" t="n">
        <v>3.9747</v>
      </c>
      <c r="G8" s="34" t="n">
        <v>0.4948</v>
      </c>
      <c r="H8" s="34" t="n">
        <v>8.011799999999999</v>
      </c>
      <c r="I8" s="34" t="n">
        <v>2.418</v>
      </c>
      <c r="J8" s="34" t="n">
        <v>2.2286</v>
      </c>
      <c r="K8" s="34" t="n">
        <v>1.2363</v>
      </c>
      <c r="L8" s="34" t="n">
        <v>2.9271</v>
      </c>
      <c r="M8" s="34" t="n">
        <v>8.56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0.0856, "淨現金": 2074648000.0}, "damodaran_fcff": {"銷售/資本": 2.507, "g1": 0.0038, "永續g": 0.03, "目標營業利益率": 0.0458, "WACC": 0.0856,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26.58</v>
      </c>
      <c r="D9" s="34" t="n">
        <v>42.746</v>
      </c>
      <c r="E9" s="34" t="n">
        <v>39.643</v>
      </c>
      <c r="F9" s="34" t="n">
        <v>52.6105</v>
      </c>
      <c r="G9" s="34" t="n">
        <v>4.0475</v>
      </c>
      <c r="H9" s="34" t="inlineStr"/>
      <c r="I9" s="34" t="n">
        <v>25.4081</v>
      </c>
      <c r="J9" s="34" t="inlineStr"/>
      <c r="K9" s="34" t="n">
        <v>11.4789</v>
      </c>
      <c r="L9" s="34" t="n">
        <v>145.3209</v>
      </c>
      <c r="M9" s="34" t="n">
        <v>5.66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0.0566, "淨現金": -107039386000.0}, "damodaran_fcff": {"銷售/資本": 3.044, "g1": 0.0429, "永續g": 0.03, "目標營業利益率": 0.0217, "WACC": 0.0566, "終值WACC": 0.0995, "有效稅率": 0.2628, "終值佔比": 0.744},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4.63</v>
      </c>
      <c r="D10" s="34" t="n">
        <v>9.241899999999999</v>
      </c>
      <c r="E10" s="34" t="n">
        <v>9.347799999999999</v>
      </c>
      <c r="F10" s="34" t="n">
        <v>3.1695</v>
      </c>
      <c r="G10" s="34" t="inlineStr"/>
      <c r="H10" s="34" t="n">
        <v>24.6095</v>
      </c>
      <c r="I10" s="34" t="n">
        <v>5.7466</v>
      </c>
      <c r="J10" s="34" t="n">
        <v>1.2761</v>
      </c>
      <c r="K10" s="34" t="n">
        <v>5.663</v>
      </c>
      <c r="L10" s="34" t="n">
        <v>3.2067</v>
      </c>
      <c r="M10" s="34" t="n">
        <v>6.8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0.068, "淨現金": -363061000000.0}, "damodaran_fcff": {"銷售/資本": 2.289, "g1": -0.05, "永續g": 0.03, "目標營業利益率": 0.0234, "WACC": 0.068,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363.8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381.6</v>
      </c>
      <c r="D12" s="34" t="n">
        <v>667.2879</v>
      </c>
      <c r="E12" s="34" t="n">
        <v>284.9754</v>
      </c>
      <c r="F12" s="34" t="n">
        <v>473.4643</v>
      </c>
      <c r="G12" s="34" t="inlineStr"/>
      <c r="H12" s="34" t="n">
        <v>692.0135</v>
      </c>
      <c r="I12" s="34" t="n">
        <v>376.2197</v>
      </c>
      <c r="J12" s="34" t="n">
        <v>464.3502</v>
      </c>
      <c r="K12" s="34" t="n">
        <v>3890.5297</v>
      </c>
      <c r="L12" s="34" t="n">
        <v>616.0083</v>
      </c>
      <c r="M12" s="34" t="n">
        <v>9.050000000000001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0.0905, "淨現金": -12924000000.0}, "damodaran_fcff": {"銷售/資本": 0.8, "g1": 0.1076, "永續g": 0.03, "目標營業利益率": 0.3189, "WACC": 0.0905,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5.17</v>
      </c>
      <c r="D13" s="34" t="n">
        <v>11.5757</v>
      </c>
      <c r="E13" s="34" t="n">
        <v>15.9286</v>
      </c>
      <c r="F13" s="34" t="n">
        <v>17.6245</v>
      </c>
      <c r="G13" s="34" t="inlineStr"/>
      <c r="H13" s="34" t="n">
        <v>12.4977</v>
      </c>
      <c r="I13" s="34" t="n">
        <v>11.7311</v>
      </c>
      <c r="J13" s="34" t="n">
        <v>8.458299999999999</v>
      </c>
      <c r="K13" s="34" t="n">
        <v>5.9777</v>
      </c>
      <c r="L13" s="34" t="n">
        <v>6.2867</v>
      </c>
      <c r="M13" s="34" t="n">
        <v>7.38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0.0738, "淨現金": 30851000000.0}, "damodaran_fcff": {"銷售/資本": 1.149, "g1": 0.0339, "永續g": 0.03, "目標營業利益率": 0.0496, "WACC": 0.0738,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8.945</v>
      </c>
      <c r="D14" s="34" t="n">
        <v>11.2787</v>
      </c>
      <c r="E14" s="34" t="n">
        <v>14.9243</v>
      </c>
      <c r="F14" s="34" t="n">
        <v>16.1461</v>
      </c>
      <c r="G14" s="34" t="inlineStr"/>
      <c r="H14" s="34" t="n">
        <v>24.8634</v>
      </c>
      <c r="I14" s="34" t="n">
        <v>4.6093</v>
      </c>
      <c r="J14" s="34" t="n">
        <v>2.1102</v>
      </c>
      <c r="K14" s="34" t="n">
        <v>3.5496</v>
      </c>
      <c r="L14" s="34" t="n">
        <v>7.4621</v>
      </c>
      <c r="M14" s="34" t="n">
        <v>7.07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0.0707, "淨現金": -94737000000.0}, "damodaran_fcff": {"銷售/資本": 0.8, "g1": 0.029, "永續g": 0.03, "目標營業利益率": 0.1543, "WACC": 0.0707,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19.28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10.26</v>
      </c>
      <c r="D16" s="34" t="n">
        <v>22.7307</v>
      </c>
      <c r="E16" s="34" t="n">
        <v>15.6375</v>
      </c>
      <c r="F16" s="34" t="n">
        <v>23.1486</v>
      </c>
      <c r="G16" s="34" t="inlineStr"/>
      <c r="H16" s="34" t="n">
        <v>51.6973</v>
      </c>
      <c r="I16" s="34" t="n">
        <v>13.6502</v>
      </c>
      <c r="J16" s="34" t="n">
        <v>9.9696</v>
      </c>
      <c r="K16" s="34" t="n">
        <v>4.5987</v>
      </c>
      <c r="L16" s="34" t="n">
        <v>12.7496</v>
      </c>
      <c r="M16" s="34" t="n">
        <v>8.6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0.086, "淨現金": -114814000000.0}, "damodaran_fcff": {"銷售/資本": 1.678, "g1": -0.0401, "永續g": 0.03, "目標營業利益率": 0.0765, "WACC": 0.086,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24.16</v>
      </c>
      <c r="D17" s="34" t="n">
        <v>72.3959</v>
      </c>
      <c r="E17" s="34" t="n">
        <v>38.1309</v>
      </c>
      <c r="F17" s="34" t="n">
        <v>68.39360000000001</v>
      </c>
      <c r="G17" s="34" t="n">
        <v>1.2324</v>
      </c>
      <c r="H17" s="34" t="n">
        <v>145.1669</v>
      </c>
      <c r="I17" s="34" t="n">
        <v>42.1611</v>
      </c>
      <c r="J17" s="34" t="n">
        <v>41.7158</v>
      </c>
      <c r="K17" s="34" t="n">
        <v>65.3695</v>
      </c>
      <c r="L17" s="34" t="n">
        <v>162.7269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10.19</v>
      </c>
      <c r="D18" s="34" t="n">
        <v>131.9757</v>
      </c>
      <c r="E18" s="34" t="n">
        <v>7.4159</v>
      </c>
      <c r="F18" s="34" t="n">
        <v>20.3527</v>
      </c>
      <c r="G18" s="34" t="inlineStr"/>
      <c r="H18" s="34" t="n">
        <v>7.1726</v>
      </c>
      <c r="I18" s="34" t="inlineStr"/>
      <c r="J18" s="34" t="inlineStr"/>
      <c r="K18" s="34" t="n">
        <v>287.6434</v>
      </c>
      <c r="L18" s="34" t="n">
        <v>1.0727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79.05</v>
      </c>
      <c r="D19" s="34" t="n">
        <v>90.4136</v>
      </c>
      <c r="E19" s="34" t="n">
        <v>115.061</v>
      </c>
      <c r="F19" s="34" t="n">
        <v>94.34869999999999</v>
      </c>
      <c r="G19" s="34" t="inlineStr"/>
      <c r="H19" s="34" t="n">
        <v>93.3013</v>
      </c>
      <c r="I19" s="34" t="n">
        <v>87.8554</v>
      </c>
      <c r="J19" s="34" t="n">
        <v>78.53</v>
      </c>
      <c r="K19" s="34" t="n">
        <v>92.003</v>
      </c>
      <c r="L19" s="34" t="n">
        <v>85.0715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4.545</v>
      </c>
      <c r="D20" s="34" t="n">
        <v>159.4783</v>
      </c>
      <c r="E20" s="34" t="n">
        <v>33.7875</v>
      </c>
      <c r="F20" s="34" t="n">
        <v>12.3958</v>
      </c>
      <c r="G20" s="34" t="inlineStr"/>
      <c r="H20" s="34" t="n">
        <v>62.7101</v>
      </c>
      <c r="I20" s="34" t="n">
        <v>4.685</v>
      </c>
      <c r="J20" s="34" t="inlineStr"/>
      <c r="K20" s="34" t="n">
        <v>440.0524</v>
      </c>
      <c r="L20" s="34" t="n">
        <v>0.4559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46.1</v>
      </c>
      <c r="D21" s="34" t="n">
        <v>6.8882</v>
      </c>
      <c r="E21" s="34" t="n">
        <v>19.1272</v>
      </c>
      <c r="F21" s="34" t="n">
        <v>4.7141</v>
      </c>
      <c r="G21" s="34" t="inlineStr"/>
      <c r="H21" s="34" t="inlineStr"/>
      <c r="I21" s="34" t="n">
        <v>10.3193</v>
      </c>
      <c r="J21" s="34" t="n">
        <v>0.4833</v>
      </c>
      <c r="K21" s="34" t="n">
        <v>3.7773</v>
      </c>
      <c r="L21" s="34" t="inlineStr"/>
      <c r="M21" s="34" t="n">
        <v>11.49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0.1149, "淨現金": -1228240000.0}, "damodaran_fcff": {"銷售/資本": 0.8, "g1": 0.0864, "永續g": 0.03, "目標營業利益率": 0.119, "WACC": 0.1149,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22.74</v>
      </c>
      <c r="D22" s="34" t="n">
        <v>30.7005</v>
      </c>
      <c r="E22" s="34" t="n">
        <v>9.378299999999999</v>
      </c>
      <c r="F22" s="34" t="n">
        <v>19.8454</v>
      </c>
      <c r="G22" s="34" t="inlineStr"/>
      <c r="H22" s="34" t="n">
        <v>72.1052</v>
      </c>
      <c r="I22" s="34" t="n">
        <v>16.3139</v>
      </c>
      <c r="J22" s="34" t="n">
        <v>18.7356</v>
      </c>
      <c r="K22" s="34" t="n">
        <v>11.1009</v>
      </c>
      <c r="L22" s="34" t="n">
        <v>30.8905</v>
      </c>
      <c r="M22" s="34" t="n">
        <v>10.02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0.1002, "淨現金": -179318000.0}, "damodaran_fcff": {"銷售/資本": 4.0, "g1": 0.1028, "永續g": 0.03, "目標營業利益率": 0.0393, "WACC": 0.1002,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7.81</v>
      </c>
      <c r="D23" s="34" t="n">
        <v>99.3837</v>
      </c>
      <c r="E23" s="34" t="n">
        <v>5.5697</v>
      </c>
      <c r="F23" s="34" t="n">
        <v>13.2286</v>
      </c>
      <c r="G23" s="34" t="inlineStr"/>
      <c r="H23" s="34" t="n">
        <v>6.8155</v>
      </c>
      <c r="I23" s="34" t="inlineStr"/>
      <c r="J23" s="34" t="inlineStr"/>
      <c r="K23" s="34" t="n">
        <v>216.8879</v>
      </c>
      <c r="L23" s="34" t="n">
        <v>0.9553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25.72</v>
      </c>
      <c r="D24" s="34" t="n">
        <v>28.9916</v>
      </c>
      <c r="E24" s="34" t="n">
        <v>17.561</v>
      </c>
      <c r="F24" s="34" t="n">
        <v>24.99</v>
      </c>
      <c r="G24" s="34" t="n">
        <v>1.4369</v>
      </c>
      <c r="H24" s="34" t="n">
        <v>32.2765</v>
      </c>
      <c r="I24" s="34" t="n">
        <v>21.5279</v>
      </c>
      <c r="J24" s="34" t="n">
        <v>26.655</v>
      </c>
      <c r="K24" s="34" t="n">
        <v>94.92959999999999</v>
      </c>
      <c r="L24" s="34" t="n">
        <v>15.9546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10.4551},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3.455</v>
      </c>
      <c r="D25" s="34" t="n">
        <v>2.3365</v>
      </c>
      <c r="E25" s="34" t="n">
        <v>4.016</v>
      </c>
      <c r="F25" s="34" t="n">
        <v>1.8275</v>
      </c>
      <c r="G25" s="34" t="inlineStr"/>
      <c r="H25" s="34" t="n">
        <v>1.997</v>
      </c>
      <c r="I25" s="34" t="n">
        <v>1.2189</v>
      </c>
      <c r="J25" s="34" t="inlineStr"/>
      <c r="K25" s="34" t="n">
        <v>3.397</v>
      </c>
      <c r="L25" s="34" t="n">
        <v>5.0357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48.32</v>
      </c>
      <c r="D27" s="34" t="n">
        <v>706.0624</v>
      </c>
      <c r="E27" s="34" t="n">
        <v>41.8875</v>
      </c>
      <c r="F27" s="34" t="n">
        <v>56.1732</v>
      </c>
      <c r="G27" s="34" t="inlineStr"/>
      <c r="H27" s="34" t="n">
        <v>137.8052</v>
      </c>
      <c r="I27" s="34" t="n">
        <v>65.9953</v>
      </c>
      <c r="J27" s="34" t="inlineStr"/>
      <c r="K27" s="34" t="n">
        <v>1679.0315</v>
      </c>
      <c r="L27" s="34" t="n">
        <v>45.2979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189</v>
      </c>
      <c r="D28" s="34" t="n">
        <v>108.5737</v>
      </c>
      <c r="E28" s="34" t="n">
        <v>55.8932</v>
      </c>
      <c r="F28" s="34" t="n">
        <v>95.751</v>
      </c>
      <c r="G28" s="34" t="n">
        <v>15.8857</v>
      </c>
      <c r="H28" s="34" t="n">
        <v>112.8475</v>
      </c>
      <c r="I28" s="34" t="n">
        <v>76.81480000000001</v>
      </c>
      <c r="J28" s="34" t="n">
        <v>89.5448</v>
      </c>
      <c r="K28" s="34" t="n">
        <v>472.7158</v>
      </c>
      <c r="L28" s="34" t="n">
        <v>243.9652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</v>
      </c>
      <c r="D29" s="34" t="n">
        <v>13.3637</v>
      </c>
      <c r="E29" s="34" t="n">
        <v>4.9536</v>
      </c>
      <c r="F29" s="34" t="n">
        <v>10.9482</v>
      </c>
      <c r="G29" s="34" t="n">
        <v>1.9739</v>
      </c>
      <c r="H29" s="34" t="n">
        <v>6.9234</v>
      </c>
      <c r="I29" s="34" t="n">
        <v>7.8266</v>
      </c>
      <c r="J29" s="34" t="n">
        <v>11.3343</v>
      </c>
      <c r="K29" s="34" t="n">
        <v>103.6593</v>
      </c>
      <c r="L29" s="34" t="n">
        <v>23.0958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48.68</v>
      </c>
      <c r="D30" s="34" t="n">
        <v>84.62430000000001</v>
      </c>
      <c r="E30" s="34" t="n">
        <v>84.017</v>
      </c>
      <c r="F30" s="34" t="n">
        <v>41.973</v>
      </c>
      <c r="G30" s="34" t="inlineStr"/>
      <c r="H30" s="34" t="n">
        <v>56.0304</v>
      </c>
      <c r="I30" s="34" t="n">
        <v>115.6235</v>
      </c>
      <c r="J30" s="34" t="n">
        <v>85.1902</v>
      </c>
      <c r="K30" s="34" t="n">
        <v>161.2387</v>
      </c>
      <c r="L30" s="34" t="n">
        <v>105.064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70.05</v>
      </c>
      <c r="D31" s="34" t="n">
        <v>14.0887</v>
      </c>
      <c r="E31" s="34" t="n">
        <v>43.556</v>
      </c>
      <c r="F31" s="34" t="n">
        <v>58.6607</v>
      </c>
      <c r="G31" s="34" t="n">
        <v>2.1604</v>
      </c>
      <c r="H31" s="34" t="n">
        <v>128.0361</v>
      </c>
      <c r="I31" s="34" t="inlineStr"/>
      <c r="J31" s="34" t="inlineStr"/>
      <c r="K31" s="34" t="n">
        <v>4.828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340.2</v>
      </c>
      <c r="D32" s="34" t="n">
        <v>387.6121</v>
      </c>
      <c r="E32" s="34" t="n">
        <v>171.6875</v>
      </c>
      <c r="F32" s="34" t="n">
        <v>154.9793</v>
      </c>
      <c r="G32" s="34" t="n">
        <v>8.619899999999999</v>
      </c>
      <c r="H32" s="34" t="n">
        <v>311.9973</v>
      </c>
      <c r="I32" s="34" t="n">
        <v>223.128</v>
      </c>
      <c r="J32" s="34" t="n">
        <v>269.6392</v>
      </c>
      <c r="K32" s="34" t="n">
        <v>2221.5986</v>
      </c>
      <c r="L32" s="34" t="n">
        <v>1189.4957</v>
      </c>
      <c r="M32" s="34" t="n">
        <v>8.94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0.0894, "淨現金": 120569062000.0}, "damodaran_fcff": {"銷售/資本": 2.016, "g1": 0.0884, "永續g": 0.03, "目標營業利益率": 0.1491, "WACC": 0.0894,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53.35</v>
      </c>
      <c r="D33" s="34" t="n">
        <v>593.8945</v>
      </c>
      <c r="E33" s="34" t="n">
        <v>32.5344</v>
      </c>
      <c r="F33" s="34" t="n">
        <v>133.2606</v>
      </c>
      <c r="G33" s="34" t="inlineStr"/>
      <c r="H33" s="34" t="n">
        <v>36.0233</v>
      </c>
      <c r="I33" s="34" t="inlineStr"/>
      <c r="J33" s="34" t="inlineStr"/>
      <c r="K33" s="34" t="n">
        <v>1281.3654</v>
      </c>
      <c r="L33" s="34" t="n">
        <v>9.7576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4.09</v>
      </c>
      <c r="D34" s="34" t="n">
        <v>8.379300000000001</v>
      </c>
      <c r="E34" s="34" t="n">
        <v>3.9083</v>
      </c>
      <c r="F34" s="34" t="n">
        <v>8.3072</v>
      </c>
      <c r="G34" s="34" t="n">
        <v>1.0921</v>
      </c>
      <c r="H34" s="34" t="n">
        <v>14.8685</v>
      </c>
      <c r="I34" s="34" t="n">
        <v>4.4648</v>
      </c>
      <c r="J34" s="34" t="n">
        <v>7.1282</v>
      </c>
      <c r="K34" s="34" t="n">
        <v>3.6928</v>
      </c>
      <c r="L34" s="34" t="n">
        <v>6.7307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14.18</v>
      </c>
      <c r="D35" s="34" t="n">
        <v>12.2318</v>
      </c>
      <c r="E35" s="34" t="n">
        <v>15.0531</v>
      </c>
      <c r="F35" s="34" t="n">
        <v>9.7699</v>
      </c>
      <c r="G35" s="34" t="inlineStr"/>
      <c r="H35" s="34" t="n">
        <v>23.8481</v>
      </c>
      <c r="I35" s="34" t="n">
        <v>9.250999999999999</v>
      </c>
      <c r="J35" s="34" t="n">
        <v>6.6375</v>
      </c>
      <c r="K35" s="34" t="n">
        <v>3.5003</v>
      </c>
      <c r="L35" s="34" t="n">
        <v>3.2622</v>
      </c>
      <c r="M35" s="34" t="n">
        <v>8.970000000000001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0.0897, "淨現金": -3912000000.0}, "damodaran_fcff": {"銷售/資本": 1.24, "g1": 0.15, "永續g": 0.03, "目標營業利益率": 0.0675, "WACC": 0.0897, "終值WACC": 0.0995, "有效稅率": 0.1589, "終值佔比": 1.231},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100.2</v>
      </c>
      <c r="D36" s="34" t="n">
        <v>137.3577</v>
      </c>
      <c r="E36" s="34" t="n">
        <v>136.2488</v>
      </c>
      <c r="F36" s="34" t="n">
        <v>60.3313</v>
      </c>
      <c r="G36" s="34" t="inlineStr"/>
      <c r="H36" s="34" t="n">
        <v>248.1141</v>
      </c>
      <c r="I36" s="34" t="n">
        <v>130.1691</v>
      </c>
      <c r="J36" s="34" t="n">
        <v>99.3456</v>
      </c>
      <c r="K36" s="34" t="n">
        <v>54.9501</v>
      </c>
      <c r="L36" s="34" t="n">
        <v>55.6176</v>
      </c>
      <c r="M36" s="34" t="n">
        <v>10.79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0.1079, "淨現金": 116354000000.0}, "damodaran_fcff": {"銷售/資本": 4.0, "g1": 0.0776, "永續g": 0.03, "目標營業利益率": 0.0189, "WACC": 0.1079,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303.6</v>
      </c>
      <c r="D37" s="34" t="n">
        <v>430.158</v>
      </c>
      <c r="E37" s="34" t="n">
        <v>424.4921</v>
      </c>
      <c r="F37" s="34" t="n">
        <v>686.5664</v>
      </c>
      <c r="G37" s="34" t="n">
        <v>39.7547</v>
      </c>
      <c r="H37" s="34" t="n">
        <v>578.1393</v>
      </c>
      <c r="I37" s="34" t="n">
        <v>319.9593</v>
      </c>
      <c r="J37" s="34" t="n">
        <v>420.1381</v>
      </c>
      <c r="K37" s="34" t="n">
        <v>39.181</v>
      </c>
      <c r="L37" s="34" t="n">
        <v>254.3916</v>
      </c>
      <c r="M37" s="34" t="n">
        <v>9.109999999999999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0.0911, "淨現金": 52551000000.0}, "damodaran_fcff": {"銷售/資本": 0.8, "g1": 0.15, "永續g": 0.03, "目標營業利益率": 0.2756, "WACC": 0.0911,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97.25</v>
      </c>
      <c r="D38" s="34" t="n">
        <v>68.82689999999999</v>
      </c>
      <c r="E38" s="34" t="n">
        <v>96.9333</v>
      </c>
      <c r="F38" s="34" t="n">
        <v>44.7189</v>
      </c>
      <c r="G38" s="34" t="inlineStr"/>
      <c r="H38" s="34" t="n">
        <v>86.46120000000001</v>
      </c>
      <c r="I38" s="34" t="n">
        <v>64.8784</v>
      </c>
      <c r="J38" s="34" t="n">
        <v>62.1025</v>
      </c>
      <c r="K38" s="34" t="n">
        <v>59.0796</v>
      </c>
      <c r="L38" s="34" t="n">
        <v>34.0044</v>
      </c>
      <c r="M38" s="34" t="n">
        <v>9.23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0.0923, "淨現金": 183360000000.0}, "damodaran_fcff": {"銷售/資本": 1.197, "g1": 0.0562, "永續g": 0.03, "目標營業利益率": 0.1155, "WACC": 0.0923,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173</v>
      </c>
      <c r="D39" s="34" t="n">
        <v>303.5068</v>
      </c>
      <c r="E39" s="34" t="n">
        <v>122.628</v>
      </c>
      <c r="F39" s="34" t="n">
        <v>244.1125</v>
      </c>
      <c r="G39" s="34" t="n">
        <v>48.2188</v>
      </c>
      <c r="H39" s="34" t="n">
        <v>383.0001</v>
      </c>
      <c r="I39" s="34" t="n">
        <v>155.2439</v>
      </c>
      <c r="J39" s="34" t="n">
        <v>186.7662</v>
      </c>
      <c r="K39" s="34" t="n">
        <v>1423.6783</v>
      </c>
      <c r="L39" s="34" t="n">
        <v>537.8362</v>
      </c>
      <c r="M39" s="34" t="n">
        <v>9.779999999999999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52.1896}, "graham_formula": {"g(上限10%)": 0.1, "Y公司債": 0.056}, "ncav": {"NCAV/股": 41.0472, "NNWC/股": 37.2662, "net-net買點": 27.3785}, "buffett_oe": {"業主盈餘(TTM,中位3年)": 37470425000.0, "g1": 0.15, "永續g": 0.03, "門檻報酬r": 0.0905, "非營運投資(折70%)": 182000000.0}, "epv": {"常態營業利益率": 0.2678, "常態NOPAT": 25438079537.0, "WACC": 0.0978, "淨現金": 162788655000.0}, "damodaran_fcff": {"銷售/資本": 4.0, "g1": 0.0529, "永續g": 0.03, "目標營業利益率": 0.2678, "WACC": 0.0978,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67.61</v>
      </c>
      <c r="D40" s="34" t="n">
        <v>126.4548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67.9786</v>
      </c>
      <c r="J40" s="34" t="n">
        <v>108.1612</v>
      </c>
      <c r="K40" s="34" t="n">
        <v>403.9189</v>
      </c>
      <c r="L40" s="34" t="n">
        <v>183.7729</v>
      </c>
      <c r="M40" s="34" t="n">
        <v>8.539999999999999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0.0855, "淨現金": 23674144031.0}, "damodaran_fcff": {"銷售/資本": 2.893, "g1": 0.15, "永續g": 0.021, "目標營業利益率": 0.1587, "WACC": 0.0855,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177.02</v>
      </c>
      <c r="D41" s="34" t="n">
        <v>200.2989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116.619</v>
      </c>
      <c r="J41" s="34" t="n">
        <v>134.5577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48.69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16.1528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129.27</v>
      </c>
      <c r="D43" s="34" t="n">
        <v>50.5432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46.5797</v>
      </c>
      <c r="J43" s="34" t="n">
        <v>50.234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1347.41</v>
      </c>
      <c r="D44" s="34" t="n">
        <v>1186.8334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838.7796</v>
      </c>
      <c r="J44" s="34" t="n">
        <v>1283.6276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29.63</v>
      </c>
      <c r="D45" s="34" t="n">
        <v>20.5336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15.4425</v>
      </c>
      <c r="J45" s="34" t="n">
        <v>12.7673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46.35</v>
      </c>
      <c r="D46" s="34" t="n">
        <v>35.8458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26.0586</v>
      </c>
      <c r="J46" s="34" t="n">
        <v>36.7174</v>
      </c>
      <c r="K46" s="34" t="n">
        <v>164.8877</v>
      </c>
      <c r="L46" s="34" t="n">
        <v>130.8639</v>
      </c>
      <c r="M46" s="34" t="n">
        <v>8.210000000000001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0.0821, "淨現金": -7517740000.0}, "damodaran_fcff": {"銷售/資本": 4.0, "g1": 0.15, "永續g": 0.021, "目標營業利益率": 0.0455, "WACC": 0.0821,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54.26</v>
      </c>
      <c r="D47" s="34" t="n">
        <v>100.9528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56.514</v>
      </c>
      <c r="J47" s="34" t="n">
        <v>92.6212</v>
      </c>
      <c r="K47" s="34" t="n">
        <v>442.9868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68.88</v>
      </c>
      <c r="D48" s="34" t="n">
        <v>113.1771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61.2881</v>
      </c>
      <c r="J48" s="34" t="n">
        <v>108.9641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226.9</v>
      </c>
      <c r="D49" s="34" t="n">
        <v>81.6031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81.46259999999999</v>
      </c>
      <c r="J49" s="34" t="n">
        <v>120.5138</v>
      </c>
      <c r="K49" s="34" t="n">
        <v>38.0978</v>
      </c>
      <c r="L49" s="34" t="n">
        <v>75.5438</v>
      </c>
      <c r="M49" s="34" t="n">
        <v>8.859999999999999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297.6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698.97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5.2279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349.03</v>
      </c>
      <c r="D52" s="34" t="n">
        <v>49.16</v>
      </c>
      <c r="E52" s="34" t="n">
        <v>9.446</v>
      </c>
      <c r="F52" s="34" t="n">
        <v>34.7808</v>
      </c>
      <c r="G52" s="34" t="inlineStr"/>
      <c r="H52" s="34" t="inlineStr"/>
      <c r="I52" s="34" t="n">
        <v>8.898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543.296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286.14</v>
      </c>
      <c r="D57" s="34" t="n">
        <v>62.8562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274.54</v>
      </c>
      <c r="D58" s="34" t="n">
        <v>481.3174</v>
      </c>
      <c r="E58" s="34" t="n">
        <v>9.3467</v>
      </c>
      <c r="F58" s="34" t="n">
        <v>1.4037</v>
      </c>
      <c r="G58" s="34" t="inlineStr"/>
      <c r="H58" s="34" t="inlineStr"/>
      <c r="I58" s="34" t="n">
        <v>15.4554</v>
      </c>
      <c r="J58" s="34" t="n">
        <v>17.7865</v>
      </c>
      <c r="K58" s="34" t="n">
        <v>6473.4827</v>
      </c>
      <c r="L58" s="34" t="inlineStr"/>
      <c r="M58" s="34" t="n">
        <v>8.529999999999999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35.2971}, "graham_formula": {"g(上限10%)": 0.0344, "Y公司債": 0.053}, "ncav": {"NCAV/股": 0.0, "NNWC/股": -30.6614, "net-net買點": 0.0}, "epv": {"常態營業利益率": 0.1926, "常態NOPAT": 4616104077.0, "WACC": 0.0853, "淨現金": -16922000000.0}, "damodaran_fcff": {"銷售/資本": 0.8, "g1": -0.0032, "永續g": 0.04, "目標營業利益率": 0.1926, "WACC": 0.0853,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523.65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17" t="inlineStr">
        <is>
          <t>00005</t>
        </is>
      </c>
      <c r="B2" s="18" t="inlineStr">
        <is>
          <t>汇丰控股</t>
        </is>
      </c>
      <c r="C2" s="19" t="n">
        <v>136.7</v>
      </c>
      <c r="D2" s="17" t="inlineStr">
        <is>
          <t>HKD</t>
        </is>
      </c>
      <c r="E2" s="19" t="n">
        <v>46.284</v>
      </c>
      <c r="F2" s="19" t="n">
        <v>69.4259</v>
      </c>
      <c r="G2" s="19" t="n">
        <v>106.4531</v>
      </c>
      <c r="H2" s="19" t="n">
        <v>138.8519</v>
      </c>
      <c r="I2" s="19" t="n">
        <v>138.8519</v>
      </c>
      <c r="J2" s="21" t="inlineStr">
        <is>
          <t>昂貴</t>
        </is>
      </c>
      <c r="K2" s="19" t="n">
        <v>1.4768</v>
      </c>
      <c r="L2" s="19" t="n">
        <v>69.4259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4.98</v>
      </c>
      <c r="D3" s="27" t="inlineStr">
        <is>
          <t>HKD</t>
        </is>
      </c>
      <c r="E3" s="29" t="n">
        <v>2.0239</v>
      </c>
      <c r="F3" s="29" t="n">
        <v>3.0359</v>
      </c>
      <c r="G3" s="29" t="n">
        <v>4.655</v>
      </c>
      <c r="H3" s="29" t="n">
        <v>6.0717</v>
      </c>
      <c r="I3" s="29" t="n">
        <v>6.0717</v>
      </c>
      <c r="J3" s="31" t="inlineStr">
        <is>
          <t>無法估值</t>
        </is>
      </c>
      <c r="K3" s="29" t="n">
        <v>1.2303</v>
      </c>
      <c r="L3" s="29" t="n">
        <v>3.0359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inlineStr">
        <is>
          <t>HKD</t>
        </is>
      </c>
      <c r="E4" s="24" t="n">
        <v>0.0485</v>
      </c>
      <c r="F4" s="24" t="n">
        <v>0.0728</v>
      </c>
      <c r="G4" s="24" t="n">
        <v>0.1116</v>
      </c>
      <c r="H4" s="24" t="n">
        <v>0.1456</v>
      </c>
      <c r="I4" s="24" t="n">
        <v>0.1456</v>
      </c>
      <c r="J4" s="26" t="inlineStr">
        <is>
          <t>非常昂貴</t>
        </is>
      </c>
      <c r="K4" s="24" t="n">
        <v>11.8497</v>
      </c>
      <c r="L4" s="24" t="n">
        <v>0.0728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86.48999999999999</v>
      </c>
      <c r="D5" s="12" t="inlineStr">
        <is>
          <t>CNY</t>
        </is>
      </c>
      <c r="E5" s="14" t="n">
        <v>53.5832</v>
      </c>
      <c r="F5" s="14" t="n">
        <v>80.37479999999999</v>
      </c>
      <c r="G5" s="14" t="n">
        <v>123.2414</v>
      </c>
      <c r="H5" s="14" t="n">
        <v>160.7496</v>
      </c>
      <c r="I5" s="14" t="n">
        <v>160.7496</v>
      </c>
      <c r="J5" s="16" t="inlineStr">
        <is>
          <t>合理</t>
        </is>
      </c>
      <c r="K5" s="14" t="n">
        <v>0.8071</v>
      </c>
      <c r="L5" s="14" t="n">
        <v>80.37479999999999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37.44</v>
      </c>
      <c r="D6" s="2" t="inlineStr">
        <is>
          <t>CNY</t>
        </is>
      </c>
      <c r="E6" s="4" t="n">
        <v>71.297</v>
      </c>
      <c r="F6" s="4" t="n">
        <v>106.9455</v>
      </c>
      <c r="G6" s="4" t="n">
        <v>163.9831</v>
      </c>
      <c r="H6" s="4" t="n">
        <v>213.8909</v>
      </c>
      <c r="I6" s="4" t="n">
        <v>213.8909</v>
      </c>
      <c r="J6" s="6" t="inlineStr">
        <is>
          <t>非常便宜</t>
        </is>
      </c>
      <c r="K6" s="4" t="n">
        <v>0.2626</v>
      </c>
      <c r="L6" s="4" t="n">
        <v>106.9455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24.18</v>
      </c>
      <c r="D7" s="12" t="inlineStr">
        <is>
          <t>CNY</t>
        </is>
      </c>
      <c r="E7" s="14" t="n">
        <v>11.5458</v>
      </c>
      <c r="F7" s="14" t="n">
        <v>17.3187</v>
      </c>
      <c r="G7" s="14" t="n">
        <v>26.5553</v>
      </c>
      <c r="H7" s="14" t="n">
        <v>34.6373</v>
      </c>
      <c r="I7" s="14" t="n">
        <v>34.6373</v>
      </c>
      <c r="J7" s="16" t="inlineStr">
        <is>
          <t>合理</t>
        </is>
      </c>
      <c r="K7" s="14" t="n">
        <v>1.0471</v>
      </c>
      <c r="L7" s="14" t="n">
        <v>17.3187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1.21</v>
      </c>
      <c r="D8" s="2" t="inlineStr">
        <is>
          <t>HKD</t>
        </is>
      </c>
      <c r="E8" s="4" t="n">
        <v>1.9198</v>
      </c>
      <c r="F8" s="4" t="n">
        <v>2.8798</v>
      </c>
      <c r="G8" s="4" t="n">
        <v>4.4156</v>
      </c>
      <c r="H8" s="4" t="n">
        <v>5.7595</v>
      </c>
      <c r="I8" s="4" t="n">
        <v>5.7595</v>
      </c>
      <c r="J8" s="6" t="inlineStr">
        <is>
          <t>非常便宜</t>
        </is>
      </c>
      <c r="K8" s="4" t="n">
        <v>0.3151</v>
      </c>
      <c r="L8" s="4" t="n">
        <v>2.8798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26.58</v>
      </c>
      <c r="D9" s="7" t="inlineStr">
        <is>
          <t>HKD</t>
        </is>
      </c>
      <c r="E9" s="9" t="n">
        <v>21.373</v>
      </c>
      <c r="F9" s="9" t="n">
        <v>32.0595</v>
      </c>
      <c r="G9" s="9" t="n">
        <v>49.1579</v>
      </c>
      <c r="H9" s="9" t="n">
        <v>64.119</v>
      </c>
      <c r="I9" s="9" t="n">
        <v>64.119</v>
      </c>
      <c r="J9" s="11" t="inlineStr">
        <is>
          <t>便宜</t>
        </is>
      </c>
      <c r="K9" s="9" t="n">
        <v>0.6218</v>
      </c>
      <c r="L9" s="9" t="n">
        <v>32.0595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9" t="n">
        <v>4.63</v>
      </c>
      <c r="D10" s="7" t="inlineStr">
        <is>
          <t>HKD</t>
        </is>
      </c>
      <c r="E10" s="9" t="n">
        <v>4.621</v>
      </c>
      <c r="F10" s="9" t="n">
        <v>6.9315</v>
      </c>
      <c r="G10" s="9" t="n">
        <v>10.6282</v>
      </c>
      <c r="H10" s="9" t="n">
        <v>13.8629</v>
      </c>
      <c r="I10" s="9" t="n">
        <v>13.8629</v>
      </c>
      <c r="J10" s="11" t="inlineStr">
        <is>
          <t>便宜</t>
        </is>
      </c>
      <c r="K10" s="9" t="n">
        <v>0.501</v>
      </c>
      <c r="L10" s="9" t="n">
        <v>6.9315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363.8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2.3213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381.6</v>
      </c>
      <c r="D12" s="7" t="inlineStr">
        <is>
          <t>HKD</t>
        </is>
      </c>
      <c r="E12" s="9" t="n">
        <v>333.6439</v>
      </c>
      <c r="F12" s="9" t="n">
        <v>500.4659</v>
      </c>
      <c r="G12" s="9" t="n">
        <v>767.381</v>
      </c>
      <c r="H12" s="9" t="n">
        <v>1000.9318</v>
      </c>
      <c r="I12" s="9" t="n">
        <v>1000.9318</v>
      </c>
      <c r="J12" s="11" t="inlineStr">
        <is>
          <t>便宜</t>
        </is>
      </c>
      <c r="K12" s="9" t="n">
        <v>0.5719</v>
      </c>
      <c r="L12" s="9" t="n">
        <v>500.4659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5.17</v>
      </c>
      <c r="D13" s="2" t="inlineStr">
        <is>
          <t>HKD</t>
        </is>
      </c>
      <c r="E13" s="4" t="n">
        <v>5.7879</v>
      </c>
      <c r="F13" s="4" t="n">
        <v>8.681800000000001</v>
      </c>
      <c r="G13" s="4" t="n">
        <v>13.3121</v>
      </c>
      <c r="H13" s="4" t="n">
        <v>17.3636</v>
      </c>
      <c r="I13" s="4" t="n">
        <v>17.3636</v>
      </c>
      <c r="J13" s="6" t="inlineStr">
        <is>
          <t>非常便宜</t>
        </is>
      </c>
      <c r="K13" s="4" t="n">
        <v>0.4466</v>
      </c>
      <c r="L13" s="4" t="n">
        <v>8.681800000000001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8.945</v>
      </c>
      <c r="D14" s="12" t="inlineStr">
        <is>
          <t>HKD</t>
        </is>
      </c>
      <c r="E14" s="14" t="n">
        <v>5.6394</v>
      </c>
      <c r="F14" s="14" t="n">
        <v>8.459099999999999</v>
      </c>
      <c r="G14" s="14" t="n">
        <v>12.9705</v>
      </c>
      <c r="H14" s="14" t="n">
        <v>16.9181</v>
      </c>
      <c r="I14" s="14" t="n">
        <v>16.9181</v>
      </c>
      <c r="J14" s="16" t="inlineStr">
        <is>
          <t>合理</t>
        </is>
      </c>
      <c r="K14" s="14" t="n">
        <v>0.7931</v>
      </c>
      <c r="L14" s="14" t="n">
        <v>8.459099999999999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19.28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0.361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10.26</v>
      </c>
      <c r="D16" s="2" t="inlineStr">
        <is>
          <t>HKD</t>
        </is>
      </c>
      <c r="E16" s="4" t="n">
        <v>11.3654</v>
      </c>
      <c r="F16" s="4" t="n">
        <v>17.0481</v>
      </c>
      <c r="G16" s="4" t="n">
        <v>26.1404</v>
      </c>
      <c r="H16" s="4" t="n">
        <v>34.0961</v>
      </c>
      <c r="I16" s="4" t="n">
        <v>34.0961</v>
      </c>
      <c r="J16" s="6" t="inlineStr">
        <is>
          <t>非常便宜</t>
        </is>
      </c>
      <c r="K16" s="4" t="n">
        <v>0.4514</v>
      </c>
      <c r="L16" s="4" t="n">
        <v>17.0481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24.16</v>
      </c>
      <c r="D17" s="2" t="inlineStr">
        <is>
          <t>HKD</t>
        </is>
      </c>
      <c r="E17" s="4" t="n">
        <v>36.198</v>
      </c>
      <c r="F17" s="4" t="n">
        <v>54.297</v>
      </c>
      <c r="G17" s="4" t="n">
        <v>83.25530000000001</v>
      </c>
      <c r="H17" s="4" t="n">
        <v>108.5939</v>
      </c>
      <c r="I17" s="4" t="n">
        <v>108.5939</v>
      </c>
      <c r="J17" s="6" t="inlineStr">
        <is>
          <t>非常便宜</t>
        </is>
      </c>
      <c r="K17" s="4" t="n">
        <v>0.3337</v>
      </c>
      <c r="L17" s="4" t="n">
        <v>54.297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10.19</v>
      </c>
      <c r="D18" s="2" t="inlineStr">
        <is>
          <t>HKD</t>
        </is>
      </c>
      <c r="E18" s="4" t="n">
        <v>65.9879</v>
      </c>
      <c r="F18" s="4" t="n">
        <v>98.98180000000001</v>
      </c>
      <c r="G18" s="4" t="n">
        <v>151.7721</v>
      </c>
      <c r="H18" s="4" t="n">
        <v>197.9636</v>
      </c>
      <c r="I18" s="4" t="n">
        <v>197.9636</v>
      </c>
      <c r="J18" s="6" t="inlineStr">
        <is>
          <t>非常便宜</t>
        </is>
      </c>
      <c r="K18" s="4" t="n">
        <v>0.0772</v>
      </c>
      <c r="L18" s="4" t="n">
        <v>98.98180000000001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79.05</v>
      </c>
      <c r="D19" s="12" t="inlineStr">
        <is>
          <t>HKD</t>
        </is>
      </c>
      <c r="E19" s="14" t="n">
        <v>45.2068</v>
      </c>
      <c r="F19" s="14" t="n">
        <v>67.81019999999999</v>
      </c>
      <c r="G19" s="14" t="n">
        <v>103.9756</v>
      </c>
      <c r="H19" s="14" t="n">
        <v>135.6203</v>
      </c>
      <c r="I19" s="14" t="n">
        <v>135.6203</v>
      </c>
      <c r="J19" s="16" t="inlineStr">
        <is>
          <t>合理</t>
        </is>
      </c>
      <c r="K19" s="14" t="n">
        <v>0.8743</v>
      </c>
      <c r="L19" s="14" t="n">
        <v>67.81019999999999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4.545</v>
      </c>
      <c r="D20" s="27" t="inlineStr">
        <is>
          <t>HKD</t>
        </is>
      </c>
      <c r="E20" s="29" t="n">
        <v>79.7392</v>
      </c>
      <c r="F20" s="29" t="n">
        <v>119.6087</v>
      </c>
      <c r="G20" s="29" t="n">
        <v>183.4001</v>
      </c>
      <c r="H20" s="29" t="n">
        <v>239.2175</v>
      </c>
      <c r="I20" s="29" t="n">
        <v>239.2175</v>
      </c>
      <c r="J20" s="31" t="inlineStr">
        <is>
          <t>無法估值</t>
        </is>
      </c>
      <c r="K20" s="29" t="n">
        <v>0.0285</v>
      </c>
      <c r="L20" s="29" t="n">
        <v>103.6609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46.1</v>
      </c>
      <c r="D21" s="22" t="inlineStr">
        <is>
          <t>HKD</t>
        </is>
      </c>
      <c r="E21" s="24" t="n">
        <v>3.4441</v>
      </c>
      <c r="F21" s="24" t="n">
        <v>5.1661</v>
      </c>
      <c r="G21" s="24" t="n">
        <v>7.9214</v>
      </c>
      <c r="H21" s="24" t="n">
        <v>10.3323</v>
      </c>
      <c r="I21" s="24" t="n">
        <v>10.3323</v>
      </c>
      <c r="J21" s="26" t="inlineStr">
        <is>
          <t>非常昂貴</t>
        </is>
      </c>
      <c r="K21" s="24" t="n">
        <v>6.6926</v>
      </c>
      <c r="L21" s="24" t="n">
        <v>5.1661</v>
      </c>
    </row>
    <row r="22">
      <c r="A22" s="7" t="inlineStr">
        <is>
          <t>00992</t>
        </is>
      </c>
      <c r="B22" s="8" t="inlineStr">
        <is>
          <t>联想集团</t>
        </is>
      </c>
      <c r="C22" s="9" t="n">
        <v>22.74</v>
      </c>
      <c r="D22" s="7" t="inlineStr">
        <is>
          <t>HKD</t>
        </is>
      </c>
      <c r="E22" s="9" t="n">
        <v>15.3503</v>
      </c>
      <c r="F22" s="9" t="n">
        <v>23.0254</v>
      </c>
      <c r="G22" s="9" t="n">
        <v>35.3056</v>
      </c>
      <c r="H22" s="9" t="n">
        <v>46.0508</v>
      </c>
      <c r="I22" s="9" t="n">
        <v>46.0508</v>
      </c>
      <c r="J22" s="11" t="inlineStr">
        <is>
          <t>便宜</t>
        </is>
      </c>
      <c r="K22" s="9" t="n">
        <v>0.7407</v>
      </c>
      <c r="L22" s="9" t="n">
        <v>23.0254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7.81</v>
      </c>
      <c r="D23" s="2" t="inlineStr">
        <is>
          <t>HKD</t>
        </is>
      </c>
      <c r="E23" s="4" t="n">
        <v>49.6918</v>
      </c>
      <c r="F23" s="4" t="n">
        <v>74.5378</v>
      </c>
      <c r="G23" s="4" t="n">
        <v>114.2912</v>
      </c>
      <c r="H23" s="4" t="n">
        <v>149.0755</v>
      </c>
      <c r="I23" s="4" t="n">
        <v>149.0755</v>
      </c>
      <c r="J23" s="6" t="inlineStr">
        <is>
          <t>非常便宜</t>
        </is>
      </c>
      <c r="K23" s="4" t="n">
        <v>0.0786</v>
      </c>
      <c r="L23" s="4" t="n">
        <v>74.5378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25.72</v>
      </c>
      <c r="D24" s="12" t="inlineStr">
        <is>
          <t>HKD</t>
        </is>
      </c>
      <c r="E24" s="14" t="n">
        <v>14.4958</v>
      </c>
      <c r="F24" s="14" t="n">
        <v>21.7437</v>
      </c>
      <c r="G24" s="14" t="n">
        <v>33.3403</v>
      </c>
      <c r="H24" s="14" t="n">
        <v>43.4873</v>
      </c>
      <c r="I24" s="14" t="n">
        <v>43.4873</v>
      </c>
      <c r="J24" s="16" t="inlineStr">
        <is>
          <t>合理</t>
        </is>
      </c>
      <c r="K24" s="14" t="n">
        <v>0.8872</v>
      </c>
      <c r="L24" s="14" t="n">
        <v>21.7437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3.455</v>
      </c>
      <c r="D25" s="17" t="inlineStr">
        <is>
          <t>HKD</t>
        </is>
      </c>
      <c r="E25" s="19" t="n">
        <v>1.1683</v>
      </c>
      <c r="F25" s="19" t="n">
        <v>1.7524</v>
      </c>
      <c r="G25" s="19" t="n">
        <v>2.687</v>
      </c>
      <c r="H25" s="19" t="n">
        <v>3.5048</v>
      </c>
      <c r="I25" s="19" t="n">
        <v>3.5048</v>
      </c>
      <c r="J25" s="21" t="inlineStr">
        <is>
          <t>昂貴</t>
        </is>
      </c>
      <c r="K25" s="19" t="n">
        <v>1.4787</v>
      </c>
      <c r="L25" s="19" t="n">
        <v>1.7524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0.15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48.32</v>
      </c>
      <c r="D27" s="2" t="inlineStr">
        <is>
          <t>HKD</t>
        </is>
      </c>
      <c r="E27" s="4" t="n">
        <v>353.0312</v>
      </c>
      <c r="F27" s="4" t="n">
        <v>529.5468</v>
      </c>
      <c r="G27" s="4" t="n">
        <v>811.9718</v>
      </c>
      <c r="H27" s="4" t="n">
        <v>1059.0936</v>
      </c>
      <c r="I27" s="4" t="n">
        <v>1059.0936</v>
      </c>
      <c r="J27" s="6" t="inlineStr">
        <is>
          <t>非常便宜</t>
        </is>
      </c>
      <c r="K27" s="4" t="n">
        <v>0.0684</v>
      </c>
      <c r="L27" s="4" t="n">
        <v>529.5468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189</v>
      </c>
      <c r="D28" s="22" t="inlineStr">
        <is>
          <t>HKD</t>
        </is>
      </c>
      <c r="E28" s="24" t="n">
        <v>54.2869</v>
      </c>
      <c r="F28" s="24" t="n">
        <v>81.4303</v>
      </c>
      <c r="G28" s="24" t="n">
        <v>124.8598</v>
      </c>
      <c r="H28" s="24" t="n">
        <v>162.8606</v>
      </c>
      <c r="I28" s="24" t="n">
        <v>162.8606</v>
      </c>
      <c r="J28" s="26" t="inlineStr">
        <is>
          <t>非常昂貴</t>
        </is>
      </c>
      <c r="K28" s="24" t="n">
        <v>1.7408</v>
      </c>
      <c r="L28" s="24" t="n">
        <v>81.4303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</v>
      </c>
      <c r="D29" s="2" t="inlineStr">
        <is>
          <t>HKD</t>
        </is>
      </c>
      <c r="E29" s="4" t="n">
        <v>6.6818</v>
      </c>
      <c r="F29" s="4" t="n">
        <v>10.0227</v>
      </c>
      <c r="G29" s="4" t="n">
        <v>15.3682</v>
      </c>
      <c r="H29" s="4" t="n">
        <v>20.0455</v>
      </c>
      <c r="I29" s="4" t="n">
        <v>20.0455</v>
      </c>
      <c r="J29" s="6" t="inlineStr">
        <is>
          <t>非常便宜</t>
        </is>
      </c>
      <c r="K29" s="4" t="n">
        <v>0.2395</v>
      </c>
      <c r="L29" s="4" t="n">
        <v>10.0227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48.68</v>
      </c>
      <c r="D30" s="7" t="inlineStr">
        <is>
          <t>HKD</t>
        </is>
      </c>
      <c r="E30" s="9" t="n">
        <v>42.3121</v>
      </c>
      <c r="F30" s="9" t="n">
        <v>63.4682</v>
      </c>
      <c r="G30" s="9" t="n">
        <v>97.31789999999999</v>
      </c>
      <c r="H30" s="9" t="n">
        <v>126.9364</v>
      </c>
      <c r="I30" s="9" t="n">
        <v>126.9364</v>
      </c>
      <c r="J30" s="11" t="inlineStr">
        <is>
          <t>便宜</t>
        </is>
      </c>
      <c r="K30" s="9" t="n">
        <v>0.5752</v>
      </c>
      <c r="L30" s="9" t="n">
        <v>63.4682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70.05</v>
      </c>
      <c r="D31" s="22" t="inlineStr">
        <is>
          <t>HKD</t>
        </is>
      </c>
      <c r="E31" s="24" t="n">
        <v>7.0444</v>
      </c>
      <c r="F31" s="24" t="n">
        <v>10.5665</v>
      </c>
      <c r="G31" s="24" t="n">
        <v>16.202</v>
      </c>
      <c r="H31" s="24" t="n">
        <v>21.1331</v>
      </c>
      <c r="I31" s="24" t="n">
        <v>21.1331</v>
      </c>
      <c r="J31" s="26" t="inlineStr">
        <is>
          <t>非常昂貴</t>
        </is>
      </c>
      <c r="K31" s="24" t="n">
        <v>4.9721</v>
      </c>
      <c r="L31" s="24" t="n">
        <v>10.5665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340.2</v>
      </c>
      <c r="D32" s="12" t="inlineStr">
        <is>
          <t>HKD</t>
        </is>
      </c>
      <c r="E32" s="14" t="n">
        <v>193.8061</v>
      </c>
      <c r="F32" s="14" t="n">
        <v>290.7091</v>
      </c>
      <c r="G32" s="14" t="n">
        <v>445.754</v>
      </c>
      <c r="H32" s="14" t="n">
        <v>581.4182</v>
      </c>
      <c r="I32" s="14" t="n">
        <v>581.4182</v>
      </c>
      <c r="J32" s="16" t="inlineStr">
        <is>
          <t>合理</t>
        </is>
      </c>
      <c r="K32" s="14" t="n">
        <v>0.8777</v>
      </c>
      <c r="L32" s="14" t="n">
        <v>290.7091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53.35</v>
      </c>
      <c r="D33" s="2" t="inlineStr">
        <is>
          <t>HKD</t>
        </is>
      </c>
      <c r="E33" s="4" t="n">
        <v>296.9473</v>
      </c>
      <c r="F33" s="4" t="n">
        <v>445.4209</v>
      </c>
      <c r="G33" s="4" t="n">
        <v>682.9787</v>
      </c>
      <c r="H33" s="4" t="n">
        <v>890.8418</v>
      </c>
      <c r="I33" s="4" t="n">
        <v>890.8418</v>
      </c>
      <c r="J33" s="6" t="inlineStr">
        <is>
          <t>非常便宜</t>
        </is>
      </c>
      <c r="K33" s="4" t="n">
        <v>0.0898</v>
      </c>
      <c r="L33" s="4" t="n">
        <v>445.4209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4.09</v>
      </c>
      <c r="D34" s="2" t="inlineStr">
        <is>
          <t>HKD</t>
        </is>
      </c>
      <c r="E34" s="4" t="n">
        <v>4.1897</v>
      </c>
      <c r="F34" s="4" t="n">
        <v>6.2845</v>
      </c>
      <c r="G34" s="4" t="n">
        <v>9.636200000000001</v>
      </c>
      <c r="H34" s="4" t="n">
        <v>12.569</v>
      </c>
      <c r="I34" s="4" t="n">
        <v>12.569</v>
      </c>
      <c r="J34" s="6" t="inlineStr">
        <is>
          <t>非常便宜</t>
        </is>
      </c>
      <c r="K34" s="4" t="n">
        <v>0.4881</v>
      </c>
      <c r="L34" s="4" t="n">
        <v>6.2845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14.18</v>
      </c>
      <c r="D35" s="17" t="inlineStr">
        <is>
          <t>HKD</t>
        </is>
      </c>
      <c r="E35" s="19" t="n">
        <v>6.1159</v>
      </c>
      <c r="F35" s="19" t="n">
        <v>9.1738</v>
      </c>
      <c r="G35" s="19" t="n">
        <v>14.0666</v>
      </c>
      <c r="H35" s="19" t="n">
        <v>18.3477</v>
      </c>
      <c r="I35" s="19" t="n">
        <v>18.3477</v>
      </c>
      <c r="J35" s="21" t="inlineStr">
        <is>
          <t>昂貴</t>
        </is>
      </c>
      <c r="K35" s="19" t="n">
        <v>1.1593</v>
      </c>
      <c r="L35" s="19" t="n">
        <v>9.1738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100.2</v>
      </c>
      <c r="D36" s="7" t="inlineStr">
        <is>
          <t>HKD</t>
        </is>
      </c>
      <c r="E36" s="9" t="n">
        <v>68.6788</v>
      </c>
      <c r="F36" s="9" t="n">
        <v>103.0183</v>
      </c>
      <c r="G36" s="9" t="n">
        <v>157.9613</v>
      </c>
      <c r="H36" s="9" t="n">
        <v>206.0365</v>
      </c>
      <c r="I36" s="9" t="n">
        <v>206.0365</v>
      </c>
      <c r="J36" s="11" t="inlineStr">
        <is>
          <t>便宜</t>
        </is>
      </c>
      <c r="K36" s="9" t="n">
        <v>0.7295</v>
      </c>
      <c r="L36" s="9" t="n">
        <v>103.0183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303.6</v>
      </c>
      <c r="D37" s="7" t="inlineStr">
        <is>
          <t>HKD</t>
        </is>
      </c>
      <c r="E37" s="9" t="n">
        <v>215.079</v>
      </c>
      <c r="F37" s="9" t="n">
        <v>322.6185</v>
      </c>
      <c r="G37" s="9" t="n">
        <v>494.6817</v>
      </c>
      <c r="H37" s="9" t="n">
        <v>645.237</v>
      </c>
      <c r="I37" s="9" t="n">
        <v>645.237</v>
      </c>
      <c r="J37" s="11" t="inlineStr">
        <is>
          <t>便宜</t>
        </is>
      </c>
      <c r="K37" s="9" t="n">
        <v>0.7058</v>
      </c>
      <c r="L37" s="9" t="n">
        <v>322.6185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97.25</v>
      </c>
      <c r="D38" s="17" t="inlineStr">
        <is>
          <t>HKD</t>
        </is>
      </c>
      <c r="E38" s="19" t="n">
        <v>34.4135</v>
      </c>
      <c r="F38" s="19" t="n">
        <v>51.6202</v>
      </c>
      <c r="G38" s="19" t="n">
        <v>79.151</v>
      </c>
      <c r="H38" s="19" t="n">
        <v>103.2404</v>
      </c>
      <c r="I38" s="19" t="n">
        <v>103.2404</v>
      </c>
      <c r="J38" s="21" t="inlineStr">
        <is>
          <t>昂貴</t>
        </is>
      </c>
      <c r="K38" s="19" t="n">
        <v>1.413</v>
      </c>
      <c r="L38" s="19" t="n">
        <v>51.6202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173</v>
      </c>
      <c r="D39" s="7" t="inlineStr">
        <is>
          <t>HKD</t>
        </is>
      </c>
      <c r="E39" s="9" t="n">
        <v>151.7534</v>
      </c>
      <c r="F39" s="9" t="n">
        <v>227.6301</v>
      </c>
      <c r="G39" s="9" t="n">
        <v>349.0329</v>
      </c>
      <c r="H39" s="9" t="n">
        <v>455.2603</v>
      </c>
      <c r="I39" s="9" t="n">
        <v>455.2603</v>
      </c>
      <c r="J39" s="11" t="inlineStr">
        <is>
          <t>便宜</t>
        </is>
      </c>
      <c r="K39" s="9" t="n">
        <v>0.57</v>
      </c>
      <c r="L39" s="9" t="n">
        <v>227.6301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67.61</v>
      </c>
      <c r="D40" s="7" t="inlineStr">
        <is>
          <t>CNY</t>
        </is>
      </c>
      <c r="E40" s="9" t="n">
        <v>63.2274</v>
      </c>
      <c r="F40" s="9" t="n">
        <v>94.8411</v>
      </c>
      <c r="G40" s="9" t="n">
        <v>145.423</v>
      </c>
      <c r="H40" s="9" t="n">
        <v>189.6822</v>
      </c>
      <c r="I40" s="9" t="n">
        <v>189.6822</v>
      </c>
      <c r="J40" s="11" t="inlineStr">
        <is>
          <t>便宜</t>
        </is>
      </c>
      <c r="K40" s="9" t="n">
        <v>0.5347</v>
      </c>
      <c r="L40" s="9" t="n">
        <v>94.8411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177.02</v>
      </c>
      <c r="D41" s="12" t="inlineStr">
        <is>
          <t>CNY</t>
        </is>
      </c>
      <c r="E41" s="14" t="n">
        <v>100.1494</v>
      </c>
      <c r="F41" s="14" t="n">
        <v>150.2241</v>
      </c>
      <c r="G41" s="14" t="n">
        <v>230.3437</v>
      </c>
      <c r="H41" s="14" t="n">
        <v>300.4483</v>
      </c>
      <c r="I41" s="14" t="n">
        <v>300.4483</v>
      </c>
      <c r="J41" s="16" t="inlineStr">
        <is>
          <t>合理</t>
        </is>
      </c>
      <c r="K41" s="14" t="n">
        <v>0.8838</v>
      </c>
      <c r="L41" s="14" t="n">
        <v>150.2241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48.69</v>
      </c>
      <c r="D42" s="22" t="inlineStr">
        <is>
          <t>CNY</t>
        </is>
      </c>
      <c r="E42" s="24" t="n">
        <v>14.239</v>
      </c>
      <c r="F42" s="24" t="n">
        <v>21.3585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1.7097</v>
      </c>
      <c r="L42" s="24" t="n">
        <v>21.3585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129.27</v>
      </c>
      <c r="D43" s="22" t="inlineStr">
        <is>
          <t>CNY</t>
        </is>
      </c>
      <c r="E43" s="24" t="n">
        <v>25.2716</v>
      </c>
      <c r="F43" s="24" t="n">
        <v>37.9074</v>
      </c>
      <c r="G43" s="24" t="n">
        <v>58.1247</v>
      </c>
      <c r="H43" s="24" t="n">
        <v>75.81480000000001</v>
      </c>
      <c r="I43" s="24" t="n">
        <v>75.81480000000001</v>
      </c>
      <c r="J43" s="26" t="inlineStr">
        <is>
          <t>非常昂貴</t>
        </is>
      </c>
      <c r="K43" s="24" t="n">
        <v>2.5576</v>
      </c>
      <c r="L43" s="24" t="n">
        <v>37.9074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1347.41</v>
      </c>
      <c r="D44" s="12" t="inlineStr">
        <is>
          <t>CNY</t>
        </is>
      </c>
      <c r="E44" s="14" t="n">
        <v>593.4167</v>
      </c>
      <c r="F44" s="14" t="n">
        <v>890.1251</v>
      </c>
      <c r="G44" s="14" t="n">
        <v>1364.8585</v>
      </c>
      <c r="H44" s="14" t="n">
        <v>1780.2502</v>
      </c>
      <c r="I44" s="14" t="n">
        <v>1780.2502</v>
      </c>
      <c r="J44" s="16" t="inlineStr">
        <is>
          <t>合理</t>
        </is>
      </c>
      <c r="K44" s="14" t="n">
        <v>1.1353</v>
      </c>
      <c r="L44" s="14" t="n">
        <v>890.1251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29.63</v>
      </c>
      <c r="D45" s="17" t="inlineStr">
        <is>
          <t>CNY</t>
        </is>
      </c>
      <c r="E45" s="19" t="n">
        <v>10.2668</v>
      </c>
      <c r="F45" s="19" t="n">
        <v>15.4002</v>
      </c>
      <c r="G45" s="19" t="n">
        <v>23.6137</v>
      </c>
      <c r="H45" s="19" t="n">
        <v>30.8004</v>
      </c>
      <c r="I45" s="19" t="n">
        <v>30.8004</v>
      </c>
      <c r="J45" s="21" t="inlineStr">
        <is>
          <t>昂貴</t>
        </is>
      </c>
      <c r="K45" s="19" t="n">
        <v>1.443</v>
      </c>
      <c r="L45" s="19" t="n">
        <v>15.4002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46.35</v>
      </c>
      <c r="D46" s="17" t="inlineStr">
        <is>
          <t>CNY</t>
        </is>
      </c>
      <c r="E46" s="19" t="n">
        <v>17.9229</v>
      </c>
      <c r="F46" s="19" t="n">
        <v>26.8844</v>
      </c>
      <c r="G46" s="19" t="n">
        <v>41.2227</v>
      </c>
      <c r="H46" s="19" t="n">
        <v>53.7687</v>
      </c>
      <c r="I46" s="19" t="n">
        <v>53.7687</v>
      </c>
      <c r="J46" s="21" t="inlineStr">
        <is>
          <t>昂貴</t>
        </is>
      </c>
      <c r="K46" s="19" t="n">
        <v>1.293</v>
      </c>
      <c r="L46" s="19" t="n">
        <v>26.8844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54.26</v>
      </c>
      <c r="D47" s="7" t="inlineStr">
        <is>
          <t>CNY</t>
        </is>
      </c>
      <c r="E47" s="9" t="n">
        <v>50.4764</v>
      </c>
      <c r="F47" s="9" t="n">
        <v>75.7146</v>
      </c>
      <c r="G47" s="9" t="n">
        <v>116.0957</v>
      </c>
      <c r="H47" s="9" t="n">
        <v>151.4291</v>
      </c>
      <c r="I47" s="9" t="n">
        <v>151.4291</v>
      </c>
      <c r="J47" s="11" t="inlineStr">
        <is>
          <t>便宜</t>
        </is>
      </c>
      <c r="K47" s="9" t="n">
        <v>0.5375</v>
      </c>
      <c r="L47" s="9" t="n">
        <v>75.7146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68.88</v>
      </c>
      <c r="D48" s="7" t="inlineStr">
        <is>
          <t>CNY</t>
        </is>
      </c>
      <c r="E48" s="9" t="n">
        <v>56.5885</v>
      </c>
      <c r="F48" s="9" t="n">
        <v>84.8828</v>
      </c>
      <c r="G48" s="9" t="n">
        <v>130.1536</v>
      </c>
      <c r="H48" s="9" t="n">
        <v>169.7656</v>
      </c>
      <c r="I48" s="9" t="n">
        <v>169.7656</v>
      </c>
      <c r="J48" s="11" t="inlineStr">
        <is>
          <t>便宜</t>
        </is>
      </c>
      <c r="K48" s="9" t="n">
        <v>0.6086</v>
      </c>
      <c r="L48" s="9" t="n">
        <v>84.8828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226.9</v>
      </c>
      <c r="D49" s="22" t="inlineStr">
        <is>
          <t>CNY</t>
        </is>
      </c>
      <c r="E49" s="24" t="n">
        <v>40.8015</v>
      </c>
      <c r="F49" s="24" t="n">
        <v>61.2023</v>
      </c>
      <c r="G49" s="24" t="n">
        <v>93.84350000000001</v>
      </c>
      <c r="H49" s="24" t="n">
        <v>122.4046</v>
      </c>
      <c r="I49" s="24" t="n">
        <v>122.4046</v>
      </c>
      <c r="J49" s="26" t="inlineStr">
        <is>
          <t>非常昂貴</t>
        </is>
      </c>
      <c r="K49" s="24" t="n">
        <v>2.7805</v>
      </c>
      <c r="L49" s="24" t="n">
        <v>61.2023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297.6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28.5893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698.97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10.0206</v>
      </c>
      <c r="I51" s="24" t="n">
        <v>10.0206</v>
      </c>
      <c r="J51" s="26" t="inlineStr">
        <is>
          <t>非常昂貴</t>
        </is>
      </c>
      <c r="K51" s="24" t="n">
        <v>104.6296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349.03</v>
      </c>
      <c r="D52" s="22" t="inlineStr">
        <is>
          <t>USD</t>
        </is>
      </c>
      <c r="E52" s="24" t="n">
        <v>24.58</v>
      </c>
      <c r="F52" s="24" t="n">
        <v>36.87</v>
      </c>
      <c r="G52" s="24" t="n">
        <v>56.534</v>
      </c>
      <c r="H52" s="24" t="n">
        <v>73.73999999999999</v>
      </c>
      <c r="I52" s="24" t="n">
        <v>73.73999999999999</v>
      </c>
      <c r="J52" s="26" t="inlineStr">
        <is>
          <t>非常昂貴</t>
        </is>
      </c>
      <c r="K52" s="24" t="n">
        <v>7.0999</v>
      </c>
      <c r="L52" s="24" t="n">
        <v>36.87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543.296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286.14</v>
      </c>
      <c r="D57" s="22" t="inlineStr">
        <is>
          <t>USD</t>
        </is>
      </c>
      <c r="E57" s="24" t="n">
        <v>31.4281</v>
      </c>
      <c r="F57" s="24" t="n">
        <v>47.1422</v>
      </c>
      <c r="G57" s="24" t="n">
        <v>72.2846</v>
      </c>
      <c r="H57" s="24" t="n">
        <v>94.2843</v>
      </c>
      <c r="I57" s="24" t="n">
        <v>94.2843</v>
      </c>
      <c r="J57" s="26" t="inlineStr">
        <is>
          <t>非常昂貴</t>
        </is>
      </c>
      <c r="K57" s="24" t="n">
        <v>4.5523</v>
      </c>
      <c r="L57" s="24" t="n">
        <v>47.1422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274.54</v>
      </c>
      <c r="D58" s="7" t="inlineStr">
        <is>
          <t>USD</t>
        </is>
      </c>
      <c r="E58" s="9" t="n">
        <v>240.6587</v>
      </c>
      <c r="F58" s="9" t="n">
        <v>360.9881</v>
      </c>
      <c r="G58" s="9" t="n">
        <v>553.515</v>
      </c>
      <c r="H58" s="9" t="n">
        <v>721.9761</v>
      </c>
      <c r="I58" s="9" t="n">
        <v>721.9761</v>
      </c>
      <c r="J58" s="11" t="inlineStr">
        <is>
          <t>便宜</t>
        </is>
      </c>
      <c r="K58" s="9" t="n">
        <v>0.5704</v>
      </c>
      <c r="L58" s="9" t="n">
        <v>360.9881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523.65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93.9238</v>
      </c>
      <c r="H61" s="24" t="n">
        <v>122.5093</v>
      </c>
      <c r="I61" s="24" t="n">
        <v>122.5093</v>
      </c>
      <c r="J61" s="26" t="inlineStr">
        <is>
          <t>非常昂貴</t>
        </is>
      </c>
      <c r="K61" s="24" t="n">
        <v>6.4116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136.7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4.98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86.48999999999999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37.44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24.18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1.21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26.58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4.63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363.8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381.6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5.17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19.28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10.26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24.16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10.19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79.05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4.545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46.1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22.74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7.81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25.72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3.455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2/7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48.32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189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48.68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70.05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340.2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53.35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4.09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14.18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100.2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303.6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97.25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173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67.61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177.02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48.69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129.27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1347.41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29.63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46.35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54.26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68.88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226.9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297.6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698.97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349.03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543.296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286.14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274.54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523.65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17" t="inlineStr">
        <is>
          <t>00005</t>
        </is>
      </c>
      <c r="B2" s="18" t="inlineStr">
        <is>
          <t>汇丰控股</t>
        </is>
      </c>
      <c r="C2" s="19" t="n">
        <v>136.7</v>
      </c>
      <c r="D2" s="17" t="n">
        <v>3.5</v>
      </c>
      <c r="E2" s="17" t="inlineStr">
        <is>
          <t>★★☆☆☆</t>
        </is>
      </c>
      <c r="F2" s="21" t="inlineStr">
        <is>
          <t>昂貴</t>
        </is>
      </c>
      <c r="G2" s="17" t="inlineStr">
        <is>
          <t>非常昂貴</t>
        </is>
      </c>
      <c r="H2" s="17" t="n">
        <v>70.40000000000001</v>
      </c>
      <c r="I2" s="18" t="inlineStr">
        <is>
          <t>十年持續獲利、現金流充沛，但槓桿極高且派息率異常</t>
        </is>
      </c>
      <c r="J2" s="18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18" t="inlineStr">
        <is>
          <t>派息率404.75%遠超盈餘 / 利息保障倍數僅0.51 / 營收及有息負債資料缺失</t>
        </is>
      </c>
      <c r="L2" s="17" t="inlineStr">
        <is>
          <t>qwen3.8-max</t>
        </is>
      </c>
      <c r="M2" s="17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4.98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86.48999999999999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37.44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24.18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1.21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26.58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82.7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9" t="n">
        <v>4.63</v>
      </c>
      <c r="D10" s="7" t="n">
        <v>5.8</v>
      </c>
      <c r="E10" s="7" t="inlineStr">
        <is>
          <t>★★★☆☆</t>
        </is>
      </c>
      <c r="F10" s="11" t="inlineStr">
        <is>
          <t>便宜</t>
        </is>
      </c>
      <c r="G10" s="7" t="inlineStr">
        <is>
          <t>非常便宜</t>
        </is>
      </c>
      <c r="H10" s="7" t="n">
        <v>92.90000000000001</v>
      </c>
      <c r="I10" s="8" t="inlineStr">
        <is>
          <t>獲利極薄但現金流穩定，估值深度折價</t>
        </is>
      </c>
      <c r="J10" s="8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8" t="inlineStr">
        <is>
          <t>營業利益率僅1.9%，獲利極薄 / 流動比率0.86，短期償債承壓 / 營收三年CAGR -5.76%結構性下滑</t>
        </is>
      </c>
      <c r="L10" s="7" t="inlineStr">
        <is>
          <t>qwen3.8-max</t>
        </is>
      </c>
      <c r="M10" s="7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363.8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381.6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5.17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8.945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19.28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10.26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24.16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10.19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79.05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4.545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46.1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82.90000000000001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7" t="inlineStr">
        <is>
          <t>00992</t>
        </is>
      </c>
      <c r="B22" s="8" t="inlineStr">
        <is>
          <t>联想集团</t>
        </is>
      </c>
      <c r="C22" s="9" t="n">
        <v>22.74</v>
      </c>
      <c r="D22" s="7" t="n">
        <v>4</v>
      </c>
      <c r="E22" s="7" t="inlineStr">
        <is>
          <t>★★☆☆☆</t>
        </is>
      </c>
      <c r="F22" s="11" t="inlineStr">
        <is>
          <t>便宜</t>
        </is>
      </c>
      <c r="G22" s="7" t="inlineStr">
        <is>
          <t>合理</t>
        </is>
      </c>
      <c r="H22" s="7" t="n">
        <v>92.8</v>
      </c>
      <c r="I22" s="8" t="inlineStr">
        <is>
          <t>淨利率不足1%、利息覆蓋僅0.5倍，現金流尚可但槓桿偏高</t>
        </is>
      </c>
      <c r="J22" s="8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8" t="inlineStr">
        <is>
          <t>利息保障倍數僅0.51，償債風險高 / 淨利率0.88%，獲利極薄 / 派息率591.59%不可持續</t>
        </is>
      </c>
      <c r="L22" s="7" t="inlineStr">
        <is>
          <t>qwen3.8-max</t>
        </is>
      </c>
      <c r="M22" s="7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7.81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25.72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3.455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0.15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48.32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189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48.68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70.05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340.2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53.35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4.09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14.18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100.2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89.09999999999999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303.6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97.25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173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67.61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177.02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48.69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129.27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1347.41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29.63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46.35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54.26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68.88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226.9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297.6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698.97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349.03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543.296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286.14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274.54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523.65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2026-10-29T15:25:59Z</dcterms:created>
  <dcterms:modified xmlns:dcterms="http://purl.org/dc/terms/" xmlns:xsi="http://www.w3.org/2001/XMLSchema-instance" xsi:type="dcterms:W3CDTF">2026-10-29T15:26:02Z</dcterms:modified>
</cp:coreProperties>
</file>