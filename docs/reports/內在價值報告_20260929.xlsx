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23.62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71.9629</v>
      </c>
      <c r="J2" s="4" t="n">
        <v>41.4659</v>
      </c>
      <c r="K2" s="4" t="n">
        <v>67.98009999999999</v>
      </c>
      <c r="L2" s="5" t="n">
        <v>-67.2</v>
      </c>
      <c r="M2" s="5" t="n">
        <v>25</v>
      </c>
      <c r="N2" s="4" t="n">
        <v>53.9722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2026-09-29</t>
        </is>
      </c>
      <c r="AF2" s="3" t="inlineStr">
        <is>
          <t>缺關鍵科目：capex / 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3.33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13.2825</v>
      </c>
      <c r="J3" s="4" t="n">
        <v>6.8815</v>
      </c>
      <c r="K3" s="4" t="n">
        <v>11.2655</v>
      </c>
      <c r="L3" s="5" t="n">
        <v>-74.90000000000001</v>
      </c>
      <c r="M3" s="5" t="n">
        <v>25</v>
      </c>
      <c r="N3" s="4" t="n">
        <v>9.9619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2026-09-29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9.640000000000001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23.0772</v>
      </c>
      <c r="J4" s="4" t="n">
        <v>14.9272</v>
      </c>
      <c r="K4" s="4" t="n">
        <v>15.5986</v>
      </c>
      <c r="L4" s="5" t="n">
        <v>-58.2</v>
      </c>
      <c r="M4" s="5" t="n">
        <v>25</v>
      </c>
      <c r="N4" s="4" t="n">
        <v>17.3079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2026-09-29</t>
        </is>
      </c>
      <c r="AF4" s="3" t="inlineStr">
        <is>
          <t>報表幣別 CNY → 交易幣別 HKD，匯率 1.1676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4.025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8.328900000000001</v>
      </c>
      <c r="J5" s="4" t="n">
        <v>3.8847</v>
      </c>
      <c r="K5" s="4" t="n">
        <v>7.0853</v>
      </c>
      <c r="L5" s="5" t="n">
        <v>-51.7</v>
      </c>
      <c r="M5" s="5" t="n">
        <v>25</v>
      </c>
      <c r="N5" s="4" t="n">
        <v>6.2466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2026-09-29</t>
        </is>
      </c>
      <c r="AF5" s="3" t="inlineStr">
        <is>
          <t>報表幣別 CNY → 交易幣別 HKD，匯率 1.1676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38.37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142.539</v>
      </c>
      <c r="J6" s="4" t="n">
        <v>55.8024</v>
      </c>
      <c r="K6" s="4" t="n">
        <v>151.0522</v>
      </c>
      <c r="L6" s="5" t="n">
        <v>-73.09999999999999</v>
      </c>
      <c r="M6" s="5" t="n">
        <v>25</v>
      </c>
      <c r="N6" s="4" t="n">
        <v>106.9043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2026-09-29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1.22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3.8158</v>
      </c>
      <c r="J8" s="4" t="n">
        <v>2.2149</v>
      </c>
      <c r="K8" s="4" t="n">
        <v>2.9094</v>
      </c>
      <c r="L8" s="5" t="n">
        <v>-68</v>
      </c>
      <c r="M8" s="5" t="n">
        <v>25</v>
      </c>
      <c r="N8" s="4" t="n">
        <v>2.8618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2026-09-29</t>
        </is>
      </c>
      <c r="AF8" s="3" t="inlineStr">
        <is>
          <t>報表幣別 CNY → 交易幣別 HKD，匯率 1.1676</t>
        </is>
      </c>
    </row>
    <row r="9">
      <c r="A9" s="2" t="inlineStr">
        <is>
          <t>HK</t>
        </is>
      </c>
      <c r="B9" s="2" t="inlineStr">
        <is>
          <t>00762</t>
        </is>
      </c>
      <c r="C9" s="3" t="inlineStr">
        <is>
          <t>中国联通</t>
        </is>
      </c>
      <c r="D9" s="4" t="n">
        <v>5.625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11.4852</v>
      </c>
      <c r="J9" s="4" t="n">
        <v>8.4047</v>
      </c>
      <c r="K9" s="4" t="n">
        <v>12.4222</v>
      </c>
      <c r="L9" s="5" t="n">
        <v>-51</v>
      </c>
      <c r="M9" s="5" t="n">
        <v>25</v>
      </c>
      <c r="N9" s="4" t="n">
        <v>8.613899999999999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便宜</t>
        </is>
      </c>
      <c r="R9" s="2" t="n">
        <v>7.2</v>
      </c>
      <c r="S9" s="2" t="inlineStr">
        <is>
          <t>★★★★☆</t>
        </is>
      </c>
      <c r="T9" s="2" t="n">
        <v>7.5</v>
      </c>
      <c r="U9" s="2" t="n">
        <v>6</v>
      </c>
      <c r="V9" s="2" t="n">
        <v>6.5</v>
      </c>
      <c r="W9" s="2" t="n">
        <v>93.7</v>
      </c>
      <c r="X9" s="3" t="inlineStr">
        <is>
          <t>連續十年獲利、淨現金穩健，惟ROE僅4.2%反映重資產低回報本質</t>
        </is>
      </c>
      <c r="Y9" s="5" t="n">
        <v>4.2</v>
      </c>
      <c r="Z9" s="5" t="n">
        <v>3.4</v>
      </c>
      <c r="AA9" s="5" t="n">
        <v>69</v>
      </c>
      <c r="AB9" s="5" t="n">
        <v>44.4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2026-09-29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03968</t>
        </is>
      </c>
      <c r="C10" s="3" t="inlineStr">
        <is>
          <t>招商银行</t>
        </is>
      </c>
      <c r="D10" s="4" t="n">
        <v>50.9</v>
      </c>
      <c r="E10" s="3" t="inlineStr"/>
      <c r="F10" s="2" t="inlineStr">
        <is>
          <t>financial</t>
        </is>
      </c>
      <c r="G10" s="2" t="inlineStr">
        <is>
          <t>HKD</t>
        </is>
      </c>
      <c r="H10" s="3" t="inlineStr"/>
      <c r="I10" s="4" t="n">
        <v>590.304</v>
      </c>
      <c r="J10" s="4" t="n">
        <v>32.3377</v>
      </c>
      <c r="K10" s="4" t="n">
        <v>132.4549</v>
      </c>
      <c r="L10" s="5" t="n">
        <v>-91.40000000000001</v>
      </c>
      <c r="M10" s="5" t="n">
        <v>25</v>
      </c>
      <c r="N10" s="4" t="n">
        <v>442.728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6.8</v>
      </c>
      <c r="S10" s="2" t="inlineStr">
        <is>
          <t>★★★☆☆</t>
        </is>
      </c>
      <c r="T10" s="2" t="n">
        <v>6</v>
      </c>
      <c r="U10" s="2" t="n">
        <v>7</v>
      </c>
      <c r="V10" s="2" t="n">
        <v>6</v>
      </c>
      <c r="W10" s="2" t="n">
        <v>86.2</v>
      </c>
      <c r="X10" s="3" t="inlineStr">
        <is>
          <t>連續十年獲利、ROE 11.3%、EPS五年CAGR 8.5%，財務體質穩健</t>
        </is>
      </c>
      <c r="Y10" s="5" t="n">
        <v>11.3</v>
      </c>
      <c r="Z10" s="5" t="n">
        <v>10.9</v>
      </c>
      <c r="AA10" s="5" t="inlineStr"/>
      <c r="AB10" s="5" t="n">
        <v>90.2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2026-09-29</t>
        </is>
      </c>
      <c r="AF10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19.78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-63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6.5</v>
      </c>
      <c r="S11" s="2" t="inlineStr">
        <is>
          <t>★★★☆☆</t>
        </is>
      </c>
      <c r="T11" s="2" t="n">
        <v>6</v>
      </c>
      <c r="U11" s="2" t="n">
        <v>6</v>
      </c>
      <c r="V11" s="2" t="n">
        <v>6.5</v>
      </c>
      <c r="W11" s="2" t="n">
        <v>88.3</v>
      </c>
      <c r="X11" s="3" t="inlineStr">
        <is>
          <t>十年連續獲利但高槓桿與極薄自由現金流制約財務彈性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2026-09-29</t>
        </is>
      </c>
      <c r="AF11" s="3" t="inlineStr"/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4" t="n">
        <v>503.515</v>
      </c>
      <c r="E12" s="3" t="inlineStr"/>
      <c r="F12" s="2" t="inlineStr">
        <is>
          <t>financial</t>
        </is>
      </c>
      <c r="G12" s="2" t="inlineStr">
        <is>
          <t>USD</t>
        </is>
      </c>
      <c r="H12" s="3" t="inlineStr">
        <is>
          <t>波克夏</t>
        </is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6.5</v>
      </c>
      <c r="U12" s="2" t="n">
        <v>6</v>
      </c>
      <c r="V12" s="2" t="n">
        <v>4</v>
      </c>
      <c r="W12" s="2" t="n">
        <v>54.1</v>
      </c>
      <c r="X12" s="3" t="inlineStr">
        <is>
          <t>資產負債極穩健、十年持續獲利，但獲利波動大且缺現金流數據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2026-09-22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HK</t>
        </is>
      </c>
      <c r="B13" s="2" t="inlineStr">
        <is>
          <t>00386</t>
        </is>
      </c>
      <c r="C13" s="3" t="inlineStr">
        <is>
          <t>中国石油化工股份</t>
        </is>
      </c>
      <c r="D13" s="4" t="n">
        <v>4.46</v>
      </c>
      <c r="E13" s="3" t="inlineStr"/>
      <c r="F13" s="2" t="inlineStr">
        <is>
          <t>mature</t>
        </is>
      </c>
      <c r="G13" s="2" t="inlineStr">
        <is>
          <t>HKD</t>
        </is>
      </c>
      <c r="H13" s="3" t="inlineStr"/>
      <c r="I13" s="4" t="n">
        <v>9.3589</v>
      </c>
      <c r="J13" s="4" t="n">
        <v>3.5486</v>
      </c>
      <c r="K13" s="4" t="n">
        <v>6.2957</v>
      </c>
      <c r="L13" s="5" t="n">
        <v>-52.3</v>
      </c>
      <c r="M13" s="5" t="n">
        <v>25</v>
      </c>
      <c r="N13" s="4" t="n">
        <v>7.0192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便宜</t>
        </is>
      </c>
      <c r="R13" s="2" t="n">
        <v>5</v>
      </c>
      <c r="S13" s="2" t="inlineStr">
        <is>
          <t>★★☆☆☆</t>
        </is>
      </c>
      <c r="T13" s="2" t="n">
        <v>5.5</v>
      </c>
      <c r="U13" s="2" t="n">
        <v>4.5</v>
      </c>
      <c r="V13" s="2" t="n">
        <v>4</v>
      </c>
      <c r="W13" s="2" t="n">
        <v>92.59999999999999</v>
      </c>
      <c r="X13" s="3" t="inlineStr">
        <is>
          <t>獲利極薄、營收衰退，但現金流穩健且連續派息</t>
        </is>
      </c>
      <c r="Y13" s="5" t="n">
        <v>4.2</v>
      </c>
      <c r="Z13" s="5" t="n">
        <v>3.5</v>
      </c>
      <c r="AA13" s="5" t="n">
        <v>23.5</v>
      </c>
      <c r="AB13" s="5" t="n">
        <v>54.4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2026-09-29</t>
        </is>
      </c>
      <c r="AF13" s="3" t="inlineStr">
        <is>
          <t>缺關鍵科目：capex / 報表幣別 CNY → 交易幣別 HKD，匯率 1.1676</t>
        </is>
      </c>
    </row>
    <row r="14">
      <c r="A14" s="2" t="inlineStr">
        <is>
          <t>HK</t>
        </is>
      </c>
      <c r="B14" s="2" t="inlineStr">
        <is>
          <t>00939</t>
        </is>
      </c>
      <c r="C14" s="3" t="inlineStr">
        <is>
          <t>建设银行</t>
        </is>
      </c>
      <c r="D14" s="4" t="n">
        <v>9.69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131.1779</v>
      </c>
      <c r="J14" s="4" t="n">
        <v>7.1293</v>
      </c>
      <c r="K14" s="4" t="n">
        <v>20.2297</v>
      </c>
      <c r="L14" s="5" t="n">
        <v>-92.59999999999999</v>
      </c>
      <c r="M14" s="5" t="n">
        <v>25</v>
      </c>
      <c r="N14" s="4" t="n">
        <v>98.38339999999999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4.5</v>
      </c>
      <c r="U14" s="2" t="n">
        <v>5.5</v>
      </c>
      <c r="V14" s="2" t="n">
        <v>4.5</v>
      </c>
      <c r="W14" s="2" t="n">
        <v>87.40000000000001</v>
      </c>
      <c r="X14" s="3" t="inlineStr">
        <is>
          <t>連續十年獲利、ROE穩定約9%，但成長溫和、槓桿極高</t>
        </is>
      </c>
      <c r="Y14" s="5" t="n">
        <v>9.1</v>
      </c>
      <c r="Z14" s="5" t="n">
        <v>9.1</v>
      </c>
      <c r="AA14" s="5" t="inlineStr"/>
      <c r="AB14" s="5" t="n">
        <v>91.90000000000001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2026-09-29</t>
        </is>
      </c>
      <c r="AF14" s="3" t="inlineStr">
        <is>
          <t>行情總股本(261,600,381,459)與財報EPS反推(2,818,008,461,538)差異&gt;25%，已改用反推值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01398</t>
        </is>
      </c>
      <c r="C15" s="3" t="inlineStr">
        <is>
          <t>工商银行</t>
        </is>
      </c>
      <c r="D15" s="4" t="n">
        <v>7.675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98.78279999999999</v>
      </c>
      <c r="J15" s="4" t="n">
        <v>5.536</v>
      </c>
      <c r="K15" s="4" t="n">
        <v>13.1486</v>
      </c>
      <c r="L15" s="5" t="n">
        <v>-92.2</v>
      </c>
      <c r="M15" s="5" t="n">
        <v>25</v>
      </c>
      <c r="N15" s="4" t="n">
        <v>74.08710000000001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5.5</v>
      </c>
      <c r="V15" s="2" t="n">
        <v>4</v>
      </c>
      <c r="W15" s="2" t="n">
        <v>87.8</v>
      </c>
      <c r="X15" s="3" t="inlineStr">
        <is>
          <t>十年穩定獲利派息，ROE約8.7%，成長溫和但財務體質穩健</t>
        </is>
      </c>
      <c r="Y15" s="5" t="n">
        <v>8.6</v>
      </c>
      <c r="Z15" s="5" t="n">
        <v>8.699999999999999</v>
      </c>
      <c r="AA15" s="5" t="inlineStr"/>
      <c r="AB15" s="5" t="n">
        <v>92.40000000000001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2026-09-29</t>
        </is>
      </c>
      <c r="AF15" s="3" t="inlineStr">
        <is>
          <t>行情總股本(356,406,257,089)與財報EPS反推(4,244,259,000,000)差異&gt;25%，已改用反推值 / 缺關鍵科目：revenue,cash,total_debt,current_assets,current_li</t>
        </is>
      </c>
    </row>
    <row r="16">
      <c r="A16" s="2" t="inlineStr">
        <is>
          <t>HK</t>
        </is>
      </c>
      <c r="B16" s="2" t="inlineStr">
        <is>
          <t>02318</t>
        </is>
      </c>
      <c r="C16" s="3" t="inlineStr">
        <is>
          <t>中国平安</t>
        </is>
      </c>
      <c r="D16" s="4" t="n">
        <v>52.8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701.7938</v>
      </c>
      <c r="J16" s="4" t="n">
        <v>45.024</v>
      </c>
      <c r="K16" s="4" t="n">
        <v>136.9721</v>
      </c>
      <c r="L16" s="5" t="n">
        <v>-92.5</v>
      </c>
      <c r="M16" s="5" t="n">
        <v>25</v>
      </c>
      <c r="N16" s="4" t="n">
        <v>526.3453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3.5</v>
      </c>
      <c r="U16" s="2" t="n">
        <v>5.5</v>
      </c>
      <c r="V16" s="2" t="n">
        <v>5</v>
      </c>
      <c r="W16" s="2" t="n">
        <v>91.2</v>
      </c>
      <c r="X16" s="3" t="inlineStr">
        <is>
          <t>現金流充沛但獲利波動大、槓桿高，防禦檢查僅過2/7</t>
        </is>
      </c>
      <c r="Y16" s="5" t="n">
        <v>15.5</v>
      </c>
      <c r="Z16" s="5" t="inlineStr"/>
      <c r="AA16" s="5" t="n">
        <v>-178.5</v>
      </c>
      <c r="AB16" s="5" t="n">
        <v>89.8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2026-09-29</t>
        </is>
      </c>
      <c r="AF16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54.78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100.9503</v>
      </c>
      <c r="J17" s="9" t="n">
        <v>56.501</v>
      </c>
      <c r="K17" s="9" t="n">
        <v>94.1225</v>
      </c>
      <c r="L17" s="10" t="n">
        <v>-45.7</v>
      </c>
      <c r="M17" s="10" t="n">
        <v>25</v>
      </c>
      <c r="N17" s="9" t="n">
        <v>75.7127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</v>
      </c>
      <c r="S17" s="7" t="inlineStr">
        <is>
          <t>★★★★☆</t>
        </is>
      </c>
      <c r="T17" s="7" t="n">
        <v>6.5</v>
      </c>
      <c r="U17" s="7" t="n">
        <v>8.5</v>
      </c>
      <c r="V17" s="7" t="n">
        <v>7.5</v>
      </c>
      <c r="W17" s="7" t="n">
        <v>93.3</v>
      </c>
      <c r="X17" s="8" t="inlineStr">
        <is>
          <t>ROIC 83.9%、淨現金44億、自由現金流率15.7%，財務體質極強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2026-09-29</t>
        </is>
      </c>
      <c r="AF17" s="8" t="inlineStr"/>
    </row>
    <row r="18">
      <c r="A18" s="7" t="inlineStr">
        <is>
          <t>HK</t>
        </is>
      </c>
      <c r="B18" s="7" t="inlineStr">
        <is>
          <t>09999</t>
        </is>
      </c>
      <c r="C18" s="8" t="inlineStr">
        <is>
          <t>网易</t>
        </is>
      </c>
      <c r="D18" s="9" t="n">
        <v>190.3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301.6325</v>
      </c>
      <c r="J18" s="9" t="n">
        <v>154.1471</v>
      </c>
      <c r="K18" s="9" t="n">
        <v>380.6795</v>
      </c>
      <c r="L18" s="10" t="n">
        <v>-36.9</v>
      </c>
      <c r="M18" s="10" t="n">
        <v>25</v>
      </c>
      <c r="N18" s="9" t="n">
        <v>226.2244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</v>
      </c>
      <c r="W18" s="7" t="n">
        <v>84.8</v>
      </c>
      <c r="X18" s="8" t="inlineStr">
        <is>
          <t>淨現金充裕、自由現金流率逾42%，財務體質極穩健</t>
        </is>
      </c>
      <c r="Y18" s="10" t="n">
        <v>19.5</v>
      </c>
      <c r="Z18" s="10" t="n">
        <v>777.9</v>
      </c>
      <c r="AA18" s="10" t="n">
        <v>67.2</v>
      </c>
      <c r="AB18" s="10" t="n">
        <v>26.1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2026-09-29</t>
        </is>
      </c>
      <c r="AF18" s="8" t="inlineStr">
        <is>
          <t>報表幣別 CNY → 交易幣別 HKD，匯率 1.1676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81.29000000000001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126.3858</v>
      </c>
      <c r="J19" s="9" t="n">
        <v>67.6052</v>
      </c>
      <c r="K19" s="9" t="n">
        <v>166.782</v>
      </c>
      <c r="L19" s="10" t="n">
        <v>-35.7</v>
      </c>
      <c r="M19" s="10" t="n">
        <v>25</v>
      </c>
      <c r="N19" s="9" t="n">
        <v>94.7894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85.90000000000001</v>
      </c>
      <c r="X19" s="8" t="inlineStr">
        <is>
          <t>ROIC逾41%、淨現金充裕，連續十年獲利且現金流強勁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2026-09-29</t>
        </is>
      </c>
      <c r="AF19" s="8" t="inlineStr"/>
    </row>
    <row r="20">
      <c r="A20" s="7" t="inlineStr">
        <is>
          <t>HK</t>
        </is>
      </c>
      <c r="B20" s="7" t="inlineStr">
        <is>
          <t>00700</t>
        </is>
      </c>
      <c r="C20" s="8" t="inlineStr">
        <is>
          <t>腾讯控股</t>
        </is>
      </c>
      <c r="D20" s="9" t="n">
        <v>433.4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662.377</v>
      </c>
      <c r="J20" s="9" t="n">
        <v>461.1332</v>
      </c>
      <c r="K20" s="9" t="n">
        <v>612.116</v>
      </c>
      <c r="L20" s="10" t="n">
        <v>-34.6</v>
      </c>
      <c r="M20" s="10" t="n">
        <v>25</v>
      </c>
      <c r="N20" s="9" t="n">
        <v>496.7828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7.5</v>
      </c>
      <c r="W20" s="7" t="n">
        <v>95.90000000000001</v>
      </c>
      <c r="X20" s="8" t="inlineStr">
        <is>
          <t>高毛利、ROE逾20%、自由現金流充沛的成熟平台企業</t>
        </is>
      </c>
      <c r="Y20" s="10" t="n">
        <v>20.7</v>
      </c>
      <c r="Z20" s="10" t="n">
        <v>18.7</v>
      </c>
      <c r="AA20" s="10" t="n">
        <v>57.4</v>
      </c>
      <c r="AB20" s="10" t="n">
        <v>43.4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2026-09-29</t>
        </is>
      </c>
      <c r="AF20" s="8" t="inlineStr">
        <is>
          <t>報表幣別 CNY → 交易幣別 HKD，匯率 1.1676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77.02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113.151</v>
      </c>
      <c r="J21" s="9" t="n">
        <v>55.5052</v>
      </c>
      <c r="K21" s="9" t="n">
        <v>108.947</v>
      </c>
      <c r="L21" s="10" t="n">
        <v>-31.9</v>
      </c>
      <c r="M21" s="10" t="n">
        <v>25</v>
      </c>
      <c r="N21" s="9" t="n">
        <v>84.86320000000001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2026-09-29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48.42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84.5219</v>
      </c>
      <c r="J22" s="9" t="n">
        <v>83.5091</v>
      </c>
      <c r="K22" s="9" t="n">
        <v>106.3471</v>
      </c>
      <c r="L22" s="10" t="n">
        <v>-42.7</v>
      </c>
      <c r="M22" s="10" t="n">
        <v>25</v>
      </c>
      <c r="N22" s="9" t="n">
        <v>63.3914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2026-09-29</t>
        </is>
      </c>
      <c r="AF22" s="8" t="inlineStr">
        <is>
          <t>缺關鍵科目：d_and_a / 報表幣別 CNY → 交易幣別 HKD，匯率 1.1676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308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432.1856</v>
      </c>
      <c r="J23" s="9" t="n">
        <v>252.8537</v>
      </c>
      <c r="K23" s="9" t="n">
        <v>429.7347</v>
      </c>
      <c r="L23" s="10" t="n">
        <v>-28.7</v>
      </c>
      <c r="M23" s="10" t="n">
        <v>25</v>
      </c>
      <c r="N23" s="9" t="n">
        <v>324.1392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2026-09-29</t>
        </is>
      </c>
      <c r="AF23" s="8" t="inlineStr">
        <is>
          <t>報表幣別 CNY → 交易幣別 HKD，匯率 1.1676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1233.47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1186.8353</v>
      </c>
      <c r="J25" s="14" t="n">
        <v>838.7877999999999</v>
      </c>
      <c r="K25" s="14" t="n">
        <v>2058.441</v>
      </c>
      <c r="L25" s="15" t="n">
        <v>3.9</v>
      </c>
      <c r="M25" s="15" t="n">
        <v>25</v>
      </c>
      <c r="N25" s="14" t="n">
        <v>890.1265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2026-09-29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81.55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107.2385</v>
      </c>
      <c r="J26" s="14" t="n">
        <v>69.37050000000001</v>
      </c>
      <c r="K26" s="14" t="n">
        <v>136.1564</v>
      </c>
      <c r="L26" s="15" t="n">
        <v>-24</v>
      </c>
      <c r="M26" s="15" t="n">
        <v>25</v>
      </c>
      <c r="N26" s="14" t="n">
        <v>80.4289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2026-09-29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79.25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89.8788</v>
      </c>
      <c r="J27" s="14" t="n">
        <v>87.3207</v>
      </c>
      <c r="K27" s="14" t="n">
        <v>92.75839999999999</v>
      </c>
      <c r="L27" s="15" t="n">
        <v>-11.8</v>
      </c>
      <c r="M27" s="15" t="n">
        <v>25</v>
      </c>
      <c r="N27" s="14" t="n">
        <v>67.4091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2026-09-29</t>
        </is>
      </c>
      <c r="AF27" s="13" t="inlineStr">
        <is>
          <t>報表幣別 CNY → 交易幣別 HKD，匯率 1.1676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158.55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200.3016</v>
      </c>
      <c r="J28" s="14" t="n">
        <v>116.6315</v>
      </c>
      <c r="K28" s="14" t="n">
        <v>176.872</v>
      </c>
      <c r="L28" s="15" t="n">
        <v>-20.8</v>
      </c>
      <c r="M28" s="15" t="n">
        <v>25</v>
      </c>
      <c r="N28" s="14" t="n">
        <v>150.2262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2026-09-29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9.045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11.5805</v>
      </c>
      <c r="J29" s="14" t="n">
        <v>5.7865</v>
      </c>
      <c r="K29" s="14" t="n">
        <v>14.8341</v>
      </c>
      <c r="L29" s="15" t="n">
        <v>-21.9</v>
      </c>
      <c r="M29" s="15" t="n">
        <v>25</v>
      </c>
      <c r="N29" s="14" t="n">
        <v>8.6853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85.90000000000001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2026-09-29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25.28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28.8534</v>
      </c>
      <c r="J30" s="14" t="n">
        <v>18.9557</v>
      </c>
      <c r="K30" s="14" t="n">
        <v>26.5311</v>
      </c>
      <c r="L30" s="15" t="n">
        <v>-12.4</v>
      </c>
      <c r="M30" s="15" t="n">
        <v>25</v>
      </c>
      <c r="N30" s="14" t="n">
        <v>21.64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2026-09-29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103.7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136.5645</v>
      </c>
      <c r="J31" s="14" t="n">
        <v>59.9665</v>
      </c>
      <c r="K31" s="14" t="n">
        <v>129.5593</v>
      </c>
      <c r="L31" s="15" t="n">
        <v>-24.1</v>
      </c>
      <c r="M31" s="15" t="n">
        <v>25</v>
      </c>
      <c r="N31" s="14" t="n">
        <v>102.4234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2026-09-29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35.4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31.6484</v>
      </c>
      <c r="J32" s="14" t="n">
        <v>16.8905</v>
      </c>
      <c r="K32" s="14" t="n">
        <v>19.8496</v>
      </c>
      <c r="L32" s="15" t="n">
        <v>11.9</v>
      </c>
      <c r="M32" s="15" t="n">
        <v>25</v>
      </c>
      <c r="N32" s="14" t="n">
        <v>23.7363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2026-09-29</t>
        </is>
      </c>
      <c r="AF32" s="13" t="inlineStr">
        <is>
          <t>報表幣別 USD → 交易幣別 HKD，匯率 7.8445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32.22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41.3553</v>
      </c>
      <c r="J33" s="14" t="n">
        <v>11.4225</v>
      </c>
      <c r="K33" s="14" t="n">
        <v>52.2924</v>
      </c>
      <c r="L33" s="15" t="n">
        <v>-22.1</v>
      </c>
      <c r="M33" s="15" t="n">
        <v>35</v>
      </c>
      <c r="N33" s="14" t="n">
        <v>26.881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2026-09-29</t>
        </is>
      </c>
      <c r="AF33" s="13" t="inlineStr">
        <is>
          <t>報表幣別 CNY → 交易幣別 HKD，匯率 1.1676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483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384.0454</v>
      </c>
      <c r="J35" s="19" t="n">
        <v>170.6496</v>
      </c>
      <c r="K35" s="19" t="n">
        <v>310.111</v>
      </c>
      <c r="L35" s="20" t="n">
        <v>25.8</v>
      </c>
      <c r="M35" s="20" t="n">
        <v>25</v>
      </c>
      <c r="N35" s="19" t="n">
        <v>288.0341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2026-09-29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28.45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20.5663</v>
      </c>
      <c r="J36" s="19" t="n">
        <v>16.2467</v>
      </c>
      <c r="K36" s="19" t="n">
        <v>22.7622</v>
      </c>
      <c r="L36" s="20" t="n">
        <v>38.3</v>
      </c>
      <c r="M36" s="20" t="n">
        <v>25</v>
      </c>
      <c r="N36" s="19" t="n">
        <v>15.4247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2026-09-29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3.02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2.3224</v>
      </c>
      <c r="J37" s="19" t="n">
        <v>1.8164</v>
      </c>
      <c r="K37" s="19" t="n">
        <v>3.9917</v>
      </c>
      <c r="L37" s="20" t="n">
        <v>30</v>
      </c>
      <c r="M37" s="20" t="n">
        <v>25</v>
      </c>
      <c r="N37" s="19" t="n">
        <v>1.7418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2026-09-29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30.14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23.0552</v>
      </c>
      <c r="J38" s="19" t="n">
        <v>8.570600000000001</v>
      </c>
      <c r="K38" s="19" t="n">
        <v>15.399</v>
      </c>
      <c r="L38" s="20" t="n">
        <v>30.7</v>
      </c>
      <c r="M38" s="20" t="n">
        <v>25</v>
      </c>
      <c r="N38" s="19" t="n">
        <v>17.2914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2026-09-29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212.6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103.3424</v>
      </c>
      <c r="J39" s="24" t="n">
        <v>66.5419</v>
      </c>
      <c r="K39" s="24" t="n">
        <v>112.1653</v>
      </c>
      <c r="L39" s="25" t="n">
        <v>105.7</v>
      </c>
      <c r="M39" s="25" t="n">
        <v>25</v>
      </c>
      <c r="N39" s="24" t="n">
        <v>77.5068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2026-09-29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45.46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22.6237</v>
      </c>
      <c r="L40" s="25" t="n">
        <v>59.6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2026-09-29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158.5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71.2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2026-09-29</t>
        </is>
      </c>
      <c r="AF41" s="23" t="inlineStr">
        <is>
          <t xml:space="preserve">行情總股本(17,142,151,870)與財報EPS反推(163,822,314,050)差異&gt;25%，已改用反推值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116.35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50.5536</v>
      </c>
      <c r="J42" s="24" t="n">
        <v>39.5892</v>
      </c>
      <c r="K42" s="24" t="n">
        <v>50.2832</v>
      </c>
      <c r="L42" s="25" t="n">
        <v>130.2</v>
      </c>
      <c r="M42" s="25" t="n">
        <v>25</v>
      </c>
      <c r="N42" s="24" t="n">
        <v>37.9152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2026-09-29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324.82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79.014</v>
      </c>
      <c r="J43" s="24" t="n">
        <v>56.4053</v>
      </c>
      <c r="K43" s="24" t="n">
        <v>76.496</v>
      </c>
      <c r="L43" s="25" t="n">
        <v>311.1</v>
      </c>
      <c r="M43" s="25" t="n">
        <v>25</v>
      </c>
      <c r="N43" s="24" t="n">
        <v>59.2605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2026-09-29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390.4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149.1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2026-09-29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106.2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68.3875</v>
      </c>
      <c r="J46" s="24" t="n">
        <v>58.7726</v>
      </c>
      <c r="K46" s="24" t="n">
        <v>64.2059</v>
      </c>
      <c r="L46" s="25" t="n">
        <v>55.3</v>
      </c>
      <c r="M46" s="25" t="n">
        <v>25</v>
      </c>
      <c r="N46" s="24" t="n">
        <v>51.2906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2026-09-29</t>
        </is>
      </c>
      <c r="AF46" s="23" t="inlineStr">
        <is>
          <t>報表幣別 CNY → 交易幣別 HKD，匯率 1.1676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12.2493</v>
      </c>
      <c r="J47" s="24" t="n">
        <v>6.6433</v>
      </c>
      <c r="K47" s="24" t="n">
        <v>9.710800000000001</v>
      </c>
      <c r="L47" s="25" t="n">
        <v>71.40000000000001</v>
      </c>
      <c r="M47" s="25" t="n">
        <v>25</v>
      </c>
      <c r="N47" s="24" t="n">
        <v>9.186999999999999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2026-09-29</t>
        </is>
      </c>
      <c r="AF47" s="23" t="inlineStr">
        <is>
          <t>報表幣別 CNY → 交易幣別 HKD，匯率 1.1676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495.83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507.1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2026-09-22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58.51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35.7755</v>
      </c>
      <c r="J51" s="24" t="n">
        <v>25.6434</v>
      </c>
      <c r="K51" s="24" t="n">
        <v>36.6924</v>
      </c>
      <c r="L51" s="25" t="n">
        <v>63.5</v>
      </c>
      <c r="M51" s="25" t="n">
        <v>25</v>
      </c>
      <c r="N51" s="24" t="n">
        <v>26.8317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92.3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2026-09-29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276.5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2556.2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2026-09-29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358.794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</v>
      </c>
      <c r="K56" s="24" t="n">
        <v>15.3128</v>
      </c>
      <c r="L56" s="25" t="n">
        <v>470.8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2026-09-22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456.24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6.6805</v>
      </c>
      <c r="J62" s="24" t="n">
        <v>4.587</v>
      </c>
      <c r="K62" s="24" t="n">
        <v>8.4762</v>
      </c>
      <c r="L62" s="25" t="n">
        <v>6729.4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2026-09-29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61.15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6.9184</v>
      </c>
      <c r="J63" s="24" t="n">
        <v>3.7781</v>
      </c>
      <c r="K63" s="24" t="n">
        <v>10.414</v>
      </c>
      <c r="L63" s="25" t="n">
        <v>783.9</v>
      </c>
      <c r="M63" s="25" t="n">
        <v>25</v>
      </c>
      <c r="N63" s="24" t="n">
        <v>5.1888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2026-09-29</t>
        </is>
      </c>
      <c r="AF63" s="23" t="inlineStr">
        <is>
          <t>報表幣別 USD → 交易幣別 HKD，匯率 7.8445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1.21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0.09660000000000001</v>
      </c>
      <c r="J64" s="24" t="n">
        <v>0.0895</v>
      </c>
      <c r="K64" s="24" t="n">
        <v>0.1249</v>
      </c>
      <c r="L64" s="25" t="n">
        <v>1152.6</v>
      </c>
      <c r="M64" s="25" t="n">
        <v>25</v>
      </c>
      <c r="N64" s="24" t="n">
        <v>0.07240000000000001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2026-09-29</t>
        </is>
      </c>
      <c r="AF64" s="23" t="inlineStr">
        <is>
          <t>報表幣別 CNY → 交易幣別 HKD，匯率 1.1676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71.34999999999999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14.0036</v>
      </c>
      <c r="J65" s="24" t="n">
        <v>4.7988</v>
      </c>
      <c r="K65" s="24" t="n">
        <v>58.306</v>
      </c>
      <c r="L65" s="25" t="n">
        <v>409.5</v>
      </c>
      <c r="M65" s="25" t="n">
        <v>25</v>
      </c>
      <c r="N65" s="24" t="n">
        <v>10.5027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2026-09-29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5.62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158.5142</v>
      </c>
      <c r="J67" s="29" t="n">
        <v>4.6567</v>
      </c>
      <c r="K67" s="29" t="n">
        <v>62.331</v>
      </c>
      <c r="L67" s="30" t="n">
        <v>-96.5</v>
      </c>
      <c r="M67" s="30" t="n">
        <v>35</v>
      </c>
      <c r="N67" s="29" t="n">
        <v>103.0342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2026-09-29</t>
        </is>
      </c>
      <c r="AF67" s="28" t="inlineStr">
        <is>
          <t>報表幣別 CNY → 交易幣別 HKD，匯率 1.1676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5.215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3.9763</v>
      </c>
      <c r="J68" s="29" t="n">
        <v>2.7246</v>
      </c>
      <c r="K68" s="29" t="n">
        <v>79.6524</v>
      </c>
      <c r="L68" s="30" t="n">
        <v>31.2</v>
      </c>
      <c r="M68" s="30" t="n">
        <v>25</v>
      </c>
      <c r="N68" s="29" t="n">
        <v>2.9822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2026-09-29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0.183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2026-09-29</t>
        </is>
      </c>
      <c r="AF69" s="28" t="inlineStr">
        <is>
          <t>行情總股本(46,773,506,909)與財報EPS反推(27,175,000,000)差異&gt;25%，已改用反推值 / 缺關鍵科目：capex / 報表幣別 CNY → 交易幣別 HKD，匯率 1.1676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158.5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5.215</v>
      </c>
      <c r="D3" s="34" t="n">
        <v>3.9763</v>
      </c>
      <c r="E3" s="34" t="inlineStr"/>
      <c r="F3" s="34" t="inlineStr"/>
      <c r="G3" s="34" t="inlineStr"/>
      <c r="H3" s="34" t="n">
        <v>7.7314</v>
      </c>
      <c r="I3" s="34" t="n">
        <v>2.7246</v>
      </c>
      <c r="J3" s="34" t="inlineStr"/>
      <c r="K3" s="34" t="inlineStr"/>
      <c r="L3" s="34" t="n">
        <v>79.6524</v>
      </c>
      <c r="M3" s="34" t="n">
        <v>5.86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1.21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10.23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81.55</v>
      </c>
      <c r="D5" s="34" t="n">
        <v>107.2385</v>
      </c>
      <c r="E5" s="34" t="n">
        <v>58.436</v>
      </c>
      <c r="F5" s="34" t="n">
        <v>147.7494</v>
      </c>
      <c r="G5" s="34" t="n">
        <v>2.5939</v>
      </c>
      <c r="H5" s="34" t="n">
        <v>163.0437</v>
      </c>
      <c r="I5" s="34" t="n">
        <v>69.37050000000001</v>
      </c>
      <c r="J5" s="34" t="n">
        <v>88.2817</v>
      </c>
      <c r="K5" s="34" t="n">
        <v>136.1564</v>
      </c>
      <c r="L5" s="34" t="n">
        <v>111.3607</v>
      </c>
      <c r="M5" s="34" t="n">
        <v>8.17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27.8985}, "graham_formula": {"g(上限10%)": 0.081, "Y公司債": 0.04}, "ncav": {"NCAV/股": 2.5939, "NNWC/股": -33.091, "net-net買點": 1.7301}, "buffett_oe": {"業主盈餘(TTM,中位3年)": 51588560000.0, "g1": 0.1206, "永續g": 0.021, "門檻報酬r": 0.085, "非營運投資(折70%)": 3239763800.0}, "epv": {"常態營業利益率": 0.1079, "常態NOPAT": 41817135357.0, "WACC": 0.0817, "淨現金": 14272378000.0}, "damodaran_fcff": {"銷售/資本": 2.353, "g1": 0.0987, "永續g": 0.021, "目標營業利益率": 0.1079, "WACC": 0.0817,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38.37</v>
      </c>
      <c r="D6" s="34" t="n">
        <v>142.539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62.3704</v>
      </c>
      <c r="J6" s="34" t="n">
        <v>48.7462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30.14</v>
      </c>
      <c r="D7" s="34" t="n">
        <v>23.0552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10.0819</v>
      </c>
      <c r="J7" s="34" t="n">
        <v>8.2784</v>
      </c>
      <c r="K7" s="34" t="n">
        <v>8.570600000000001</v>
      </c>
      <c r="L7" s="34" t="n">
        <v>13.1089</v>
      </c>
      <c r="M7" s="34" t="n">
        <v>8.32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0.0832, "淨現金": -906634291.0}, "damodaran_fcff": {"銷售/資本": 1.113, "g1": 0.1305, "永續g": 0.021, "目標營業利益率": 0.0665, "WACC": 0.0832,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</v>
      </c>
      <c r="D8" s="34" t="n">
        <v>3.8158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2.4002</v>
      </c>
      <c r="J8" s="34" t="n">
        <v>2.2149</v>
      </c>
      <c r="K8" s="34" t="n">
        <v>1.2288</v>
      </c>
      <c r="L8" s="34" t="n">
        <v>2.9094</v>
      </c>
      <c r="M8" s="34" t="n">
        <v>8.57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0.0857, "淨現金": 2074648000.0}, "damodaran_fcff": {"銷售/資本": 2.507, "g1": 0.0038, "永續g": 0.03, "目標營業利益率": 0.0458, "WACC": 0.0857,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32.22</v>
      </c>
      <c r="D9" s="34" t="n">
        <v>41.3553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22.2402</v>
      </c>
      <c r="J9" s="34" t="inlineStr"/>
      <c r="K9" s="34" t="n">
        <v>11.4225</v>
      </c>
      <c r="L9" s="34" t="n">
        <v>144.7113</v>
      </c>
      <c r="M9" s="34" t="n">
        <v>5.97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0.0597, "淨現金": -107039386000.0}, "damodaran_fcff": {"銷售/資本": 3.044, "g1": 0.0429, "永續g": 0.03, "目標營業利益率": 0.0217, "WACC": 0.0597,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4.46</v>
      </c>
      <c r="D10" s="34" t="n">
        <v>9.3589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6.2739</v>
      </c>
      <c r="J10" s="34" t="n">
        <v>1.2918</v>
      </c>
      <c r="K10" s="34" t="n">
        <v>6.2957</v>
      </c>
      <c r="L10" s="34" t="n">
        <v>3.5486</v>
      </c>
      <c r="M10" s="34" t="n">
        <v>6.33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0.0632, "淨現金": -363061000000.0}, "damodaran_fcff": {"銷售/資本": 2.289, "g1": -0.05, "永續g": 0.03, "目標營業利益率": 0.0234, "WACC": 0.0632,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390.4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433.4</v>
      </c>
      <c r="D12" s="34" t="n">
        <v>662.377</v>
      </c>
      <c r="E12" s="34" t="n">
        <v>283.2136</v>
      </c>
      <c r="F12" s="34" t="n">
        <v>470.6019</v>
      </c>
      <c r="G12" s="34" t="inlineStr"/>
      <c r="H12" s="34" t="n">
        <v>687.6411000000001</v>
      </c>
      <c r="I12" s="34" t="n">
        <v>370.6948</v>
      </c>
      <c r="J12" s="34" t="n">
        <v>461.1332</v>
      </c>
      <c r="K12" s="34" t="n">
        <v>3865.9474</v>
      </c>
      <c r="L12" s="34" t="n">
        <v>612.116</v>
      </c>
      <c r="M12" s="34" t="n">
        <v>9.15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124.8857}, "graham_formula": {"g(上限10%)": 0.08, "Y公司債": 0.056}, "ncav": {"NCAV/股": 0.0, "NNWC/股": -47.93, "net-net買點": 0.0}, "buffett_oe": {"業主盈餘(TTM,中位3年)": 202308000000.0, "g1": 0.1058, "永續g": 0.03, "門檻報酬r": 0.0905, "非營運投資(折70%)": 642665100000.0}, "epv": {"常態營業利益率": 0.3189, "常態NOPAT": 206641814252.0, "WACC": 0.0915, "淨現金": -12924000000.0}, "damodaran_fcff": {"銷售/資本": 0.8, "g1": 0.1076, "永續g": 0.03, "目標營業利益率": 0.3189, "WACC": 0.0915,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4" t="n">
        <v>11.4852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11.5628</v>
      </c>
      <c r="J13" s="34" t="n">
        <v>8.4047</v>
      </c>
      <c r="K13" s="34" t="n">
        <v>5.9415</v>
      </c>
      <c r="L13" s="34" t="n">
        <v>6.2487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9.045</v>
      </c>
      <c r="D14" s="34" t="n">
        <v>11.5805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5.7865</v>
      </c>
      <c r="J14" s="34" t="n">
        <v>2.147</v>
      </c>
      <c r="K14" s="34" t="n">
        <v>4.1552</v>
      </c>
      <c r="L14" s="34" t="n">
        <v>8.9823</v>
      </c>
      <c r="M14" s="34" t="n">
        <v>6.37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0.0637, "淨現金": -94737000000.0}, "damodaran_fcff": {"銷售/資本": 0.8, "g1": 0.029, "永續g": 0.03, "目標營業利益率": 0.1543, "WACC": 0.0637,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19.78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9.640000000000001</v>
      </c>
      <c r="D16" s="34" t="n">
        <v>23.0772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14.9272</v>
      </c>
      <c r="J16" s="34" t="n">
        <v>9.998100000000001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23.62</v>
      </c>
      <c r="D17" s="34" t="n">
        <v>71.9629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41.9321</v>
      </c>
      <c r="J17" s="34" t="n">
        <v>41.4659</v>
      </c>
      <c r="K17" s="34" t="n">
        <v>64.9743</v>
      </c>
      <c r="L17" s="34" t="n">
        <v>161.7431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79.25</v>
      </c>
      <c r="D19" s="34" t="n">
        <v>89.8788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87.3207</v>
      </c>
      <c r="J19" s="34" t="n">
        <v>78.0714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5.62</v>
      </c>
      <c r="D20" s="34" t="n">
        <v>158.5142</v>
      </c>
      <c r="E20" s="34" t="n">
        <v>33.5832</v>
      </c>
      <c r="F20" s="34" t="n">
        <v>12.3208</v>
      </c>
      <c r="G20" s="34" t="inlineStr"/>
      <c r="H20" s="34" t="n">
        <v>62.331</v>
      </c>
      <c r="I20" s="34" t="n">
        <v>4.6567</v>
      </c>
      <c r="J20" s="34" t="inlineStr"/>
      <c r="K20" s="34" t="n">
        <v>437.392</v>
      </c>
      <c r="L20" s="34" t="n">
        <v>1.1203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4" t="n">
        <v>6.9184</v>
      </c>
      <c r="E21" s="34" t="n">
        <v>19.1313</v>
      </c>
      <c r="F21" s="34" t="n">
        <v>4.7151</v>
      </c>
      <c r="G21" s="34" t="inlineStr"/>
      <c r="H21" s="34" t="inlineStr"/>
      <c r="I21" s="34" t="n">
        <v>10.414</v>
      </c>
      <c r="J21" s="34" t="n">
        <v>0.4889</v>
      </c>
      <c r="K21" s="34" t="n">
        <v>3.7781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35.4</v>
      </c>
      <c r="D22" s="34" t="n">
        <v>31.6484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16.8905</v>
      </c>
      <c r="J22" s="34" t="n">
        <v>19.3624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7.675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25.28</v>
      </c>
      <c r="D24" s="34" t="n">
        <v>28.8534</v>
      </c>
      <c r="E24" s="34" t="n">
        <v>17.467</v>
      </c>
      <c r="F24" s="34" t="n">
        <v>24.8389</v>
      </c>
      <c r="G24" s="34" t="n">
        <v>1.4302</v>
      </c>
      <c r="H24" s="34" t="n">
        <v>32.1259</v>
      </c>
      <c r="I24" s="34" t="n">
        <v>21.4342</v>
      </c>
      <c r="J24" s="34" t="n">
        <v>26.5311</v>
      </c>
      <c r="K24" s="34" t="n">
        <v>94.4867</v>
      </c>
      <c r="L24" s="34" t="n">
        <v>18.9557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10.4696}, "graham_formula": {"g(上限10%)": 0.1, "Y公司債": 0.056}, "ncav": {"NCAV/股": 1.2249, "NNWC/股": -2.6097, "net-net買點": 0.817},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3.02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52.8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212.6</v>
      </c>
      <c r="D28" s="34" t="n">
        <v>103.3424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66.5419</v>
      </c>
      <c r="J28" s="34" t="n">
        <v>79.3047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3.33</v>
      </c>
      <c r="D29" s="34" t="n">
        <v>13.2825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7.7774</v>
      </c>
      <c r="J29" s="34" t="n">
        <v>11.2655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48.42</v>
      </c>
      <c r="D30" s="34" t="n">
        <v>84.5219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114.9116</v>
      </c>
      <c r="J30" s="34" t="n">
        <v>84.67449999999999</v>
      </c>
      <c r="K30" s="34" t="n">
        <v>166.422</v>
      </c>
      <c r="L30" s="34" t="n">
        <v>106.3471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71.34999999999999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12.18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483</v>
      </c>
      <c r="D32" s="34" t="n">
        <v>384.0454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216.2916</v>
      </c>
      <c r="J32" s="34" t="n">
        <v>267.4847</v>
      </c>
      <c r="K32" s="34" t="n">
        <v>2208.1674</v>
      </c>
      <c r="L32" s="34" t="n">
        <v>1182.3043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50.9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4.025</v>
      </c>
      <c r="D34" s="34" t="n">
        <v>8.328900000000001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4.4389</v>
      </c>
      <c r="J34" s="34" t="n">
        <v>7.0853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</v>
      </c>
      <c r="D35" s="34" t="n">
        <v>12.2493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8.081200000000001</v>
      </c>
      <c r="J35" s="34" t="n">
        <v>6.6433</v>
      </c>
      <c r="K35" s="34" t="n">
        <v>6.5294</v>
      </c>
      <c r="L35" s="34" t="n">
        <v>6.2196</v>
      </c>
      <c r="M35" s="34" t="n">
        <v>10.12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0.1012, "淨現金": -3912000000.0}, "damodaran_fcff": {"銷售/資本": 1.24, "g1": 0.15, "永續g": 0.03, "目標營業利益率": 0.0675, "WACC": 0.1012,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103.7</v>
      </c>
      <c r="D36" s="34" t="n">
        <v>136.5645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129.5593</v>
      </c>
      <c r="J36" s="34" t="n">
        <v>98.7495</v>
      </c>
      <c r="K36" s="34" t="n">
        <v>54.6179</v>
      </c>
      <c r="L36" s="34" t="n">
        <v>55.2814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</v>
      </c>
      <c r="D37" s="34" t="n">
        <v>432.1856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323.2188</v>
      </c>
      <c r="J37" s="34" t="n">
        <v>428.6464</v>
      </c>
      <c r="K37" s="34" t="n">
        <v>40.399</v>
      </c>
      <c r="L37" s="34" t="n">
        <v>252.8537</v>
      </c>
      <c r="M37" s="34" t="n">
        <v>9.029999999999999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0.0903, "淨現金": 49645000000.0}, "damodaran_fcff": {"銷售/資本": 0.8, "g1": 0.15, "永續g": 0.03, "目標營業利益率": 0.2756, "WACC": 0.0903,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106.2</v>
      </c>
      <c r="D38" s="34" t="n">
        <v>68.3875</v>
      </c>
      <c r="E38" s="34" t="n">
        <v>96.3884</v>
      </c>
      <c r="F38" s="34" t="n">
        <v>44.4485</v>
      </c>
      <c r="G38" s="34" t="inlineStr"/>
      <c r="H38" s="34" t="n">
        <v>86.01179999999999</v>
      </c>
      <c r="I38" s="34" t="n">
        <v>64.2059</v>
      </c>
      <c r="J38" s="34" t="n">
        <v>61.7583</v>
      </c>
      <c r="K38" s="34" t="n">
        <v>58.7726</v>
      </c>
      <c r="L38" s="34" t="n">
        <v>33.8277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190.3</v>
      </c>
      <c r="D39" s="34" t="n">
        <v>301.6325</v>
      </c>
      <c r="E39" s="34" t="n">
        <v>121.8858</v>
      </c>
      <c r="F39" s="34" t="n">
        <v>242.6367</v>
      </c>
      <c r="G39" s="34" t="n">
        <v>47.9266</v>
      </c>
      <c r="H39" s="34" t="n">
        <v>380.6795</v>
      </c>
      <c r="I39" s="34" t="n">
        <v>154.1471</v>
      </c>
      <c r="J39" s="34" t="n">
        <v>185.6158</v>
      </c>
      <c r="K39" s="34" t="n">
        <v>1415.052</v>
      </c>
      <c r="L39" s="34" t="n">
        <v>534.5773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81.29000000000001</v>
      </c>
      <c r="D40" s="34" t="n">
        <v>126.3858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67.6052</v>
      </c>
      <c r="J40" s="34" t="n">
        <v>108.1207</v>
      </c>
      <c r="K40" s="34" t="n">
        <v>403.9189</v>
      </c>
      <c r="L40" s="34" t="n">
        <v>183.7729</v>
      </c>
      <c r="M40" s="34" t="n">
        <v>8.6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0.086, "淨現金": 23674144031.0}, "damodaran_fcff": {"銷售/資本": 2.893, "g1": 0.15, "永續g": 0.021, "目標營業利益率": 0.1587, "WACC": 0.086,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158.55</v>
      </c>
      <c r="D41" s="34" t="n">
        <v>200.3016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116.6315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45.46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116.35</v>
      </c>
      <c r="D43" s="34" t="n">
        <v>50.5536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46.6269</v>
      </c>
      <c r="J43" s="34" t="n">
        <v>50.238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1233.47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838.7877999999999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28.45</v>
      </c>
      <c r="D45" s="34" t="n">
        <v>20.5663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15.5946</v>
      </c>
      <c r="J45" s="34" t="n">
        <v>12.7739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58.51</v>
      </c>
      <c r="D46" s="34" t="n">
        <v>35.7755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25.6434</v>
      </c>
      <c r="J46" s="34" t="n">
        <v>36.6924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54.78</v>
      </c>
      <c r="D47" s="34" t="n">
        <v>100.9503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56.501</v>
      </c>
      <c r="J47" s="34" t="n">
        <v>92.61960000000001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77.02</v>
      </c>
      <c r="D48" s="34" t="n">
        <v>113.151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61.1502</v>
      </c>
      <c r="J48" s="34" t="n">
        <v>108.947</v>
      </c>
      <c r="K48" s="34" t="n">
        <v>698.9493</v>
      </c>
      <c r="L48" s="34" t="n">
        <v>323.4171</v>
      </c>
      <c r="M48" s="34" t="n">
        <v>8.710000000000001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0.0871, "淨現金": 4017127052.0}, "damodaran_fcff": {"銷售/資本": 2.32, "g1": 0.15, "永續g": 0.021, "目標營業利益率": 0.2949, "WACC": 0.0871,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324.82</v>
      </c>
      <c r="D49" s="34" t="n">
        <v>79.014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72.86450000000001</v>
      </c>
      <c r="J49" s="34" t="n">
        <v>119.689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276.5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456.24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158.5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1.7119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5.215</v>
      </c>
      <c r="D3" s="27" t="inlineStr">
        <is>
          <t>HKD</t>
        </is>
      </c>
      <c r="E3" s="29" t="n">
        <v>1.9881</v>
      </c>
      <c r="F3" s="29" t="n">
        <v>2.9822</v>
      </c>
      <c r="G3" s="29" t="n">
        <v>4.5727</v>
      </c>
      <c r="H3" s="29" t="n">
        <v>5.9644</v>
      </c>
      <c r="I3" s="29" t="n">
        <v>5.9644</v>
      </c>
      <c r="J3" s="31" t="inlineStr">
        <is>
          <t>無法估值</t>
        </is>
      </c>
      <c r="K3" s="29" t="n">
        <v>1.3115</v>
      </c>
      <c r="L3" s="29" t="n">
        <v>2.9822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1.21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12.532</v>
      </c>
      <c r="L4" s="24" t="n">
        <v>0.07240000000000001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81.55</v>
      </c>
      <c r="D5" s="12" t="inlineStr">
        <is>
          <t>CNY</t>
        </is>
      </c>
      <c r="E5" s="14" t="n">
        <v>53.6192</v>
      </c>
      <c r="F5" s="14" t="n">
        <v>80.4289</v>
      </c>
      <c r="G5" s="14" t="n">
        <v>123.3242</v>
      </c>
      <c r="H5" s="14" t="n">
        <v>160.8577</v>
      </c>
      <c r="I5" s="14" t="n">
        <v>160.8577</v>
      </c>
      <c r="J5" s="16" t="inlineStr">
        <is>
          <t>合理</t>
        </is>
      </c>
      <c r="K5" s="14" t="n">
        <v>0.7605</v>
      </c>
      <c r="L5" s="14" t="n">
        <v>80.4289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38.37</v>
      </c>
      <c r="D6" s="2" t="inlineStr">
        <is>
          <t>CNY</t>
        </is>
      </c>
      <c r="E6" s="4" t="n">
        <v>71.26949999999999</v>
      </c>
      <c r="F6" s="4" t="n">
        <v>106.9043</v>
      </c>
      <c r="G6" s="4" t="n">
        <v>163.9199</v>
      </c>
      <c r="H6" s="4" t="n">
        <v>213.8086</v>
      </c>
      <c r="I6" s="4" t="n">
        <v>213.8086</v>
      </c>
      <c r="J6" s="6" t="inlineStr">
        <is>
          <t>非常便宜</t>
        </is>
      </c>
      <c r="K6" s="4" t="n">
        <v>0.2692</v>
      </c>
      <c r="L6" s="4" t="n">
        <v>106.9043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30.14</v>
      </c>
      <c r="D7" s="17" t="inlineStr">
        <is>
          <t>CNY</t>
        </is>
      </c>
      <c r="E7" s="19" t="n">
        <v>11.5276</v>
      </c>
      <c r="F7" s="19" t="n">
        <v>17.2914</v>
      </c>
      <c r="G7" s="19" t="n">
        <v>26.5135</v>
      </c>
      <c r="H7" s="19" t="n">
        <v>34.5829</v>
      </c>
      <c r="I7" s="19" t="n">
        <v>34.5829</v>
      </c>
      <c r="J7" s="21" t="inlineStr">
        <is>
          <t>昂貴</t>
        </is>
      </c>
      <c r="K7" s="19" t="n">
        <v>1.3073</v>
      </c>
      <c r="L7" s="19" t="n">
        <v>17.2914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</v>
      </c>
      <c r="D8" s="2" t="inlineStr">
        <is>
          <t>HKD</t>
        </is>
      </c>
      <c r="E8" s="4" t="n">
        <v>1.9079</v>
      </c>
      <c r="F8" s="4" t="n">
        <v>2.8618</v>
      </c>
      <c r="G8" s="4" t="n">
        <v>4.3881</v>
      </c>
      <c r="H8" s="4" t="n">
        <v>5.7237</v>
      </c>
      <c r="I8" s="4" t="n">
        <v>5.7237</v>
      </c>
      <c r="J8" s="6" t="inlineStr">
        <is>
          <t>非常便宜</t>
        </is>
      </c>
      <c r="K8" s="4" t="n">
        <v>0.3197</v>
      </c>
      <c r="L8" s="4" t="n">
        <v>2.8618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32.22</v>
      </c>
      <c r="D9" s="12" t="inlineStr">
        <is>
          <t>HKD</t>
        </is>
      </c>
      <c r="E9" s="14" t="n">
        <v>20.6777</v>
      </c>
      <c r="F9" s="14" t="n">
        <v>31.0165</v>
      </c>
      <c r="G9" s="14" t="n">
        <v>47.5586</v>
      </c>
      <c r="H9" s="14" t="n">
        <v>62.033</v>
      </c>
      <c r="I9" s="14" t="n">
        <v>62.033</v>
      </c>
      <c r="J9" s="16" t="inlineStr">
        <is>
          <t>合理</t>
        </is>
      </c>
      <c r="K9" s="14" t="n">
        <v>0.7791</v>
      </c>
      <c r="L9" s="14" t="n">
        <v>26.881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4.46</v>
      </c>
      <c r="D10" s="2" t="inlineStr">
        <is>
          <t>HKD</t>
        </is>
      </c>
      <c r="E10" s="4" t="n">
        <v>4.6795</v>
      </c>
      <c r="F10" s="4" t="n">
        <v>7.0192</v>
      </c>
      <c r="G10" s="4" t="n">
        <v>10.7628</v>
      </c>
      <c r="H10" s="4" t="n">
        <v>14.0384</v>
      </c>
      <c r="I10" s="4" t="n">
        <v>14.0384</v>
      </c>
      <c r="J10" s="6" t="inlineStr">
        <is>
          <t>非常便宜</t>
        </is>
      </c>
      <c r="K10" s="4" t="n">
        <v>0.4765</v>
      </c>
      <c r="L10" s="4" t="n">
        <v>7.0192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390.4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2.491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433.4</v>
      </c>
      <c r="D12" s="7" t="inlineStr">
        <is>
          <t>HKD</t>
        </is>
      </c>
      <c r="E12" s="9" t="n">
        <v>331.1885</v>
      </c>
      <c r="F12" s="9" t="n">
        <v>496.7828</v>
      </c>
      <c r="G12" s="9" t="n">
        <v>761.7336</v>
      </c>
      <c r="H12" s="9" t="n">
        <v>993.5656</v>
      </c>
      <c r="I12" s="9" t="n">
        <v>993.5656</v>
      </c>
      <c r="J12" s="11" t="inlineStr">
        <is>
          <t>便宜</t>
        </is>
      </c>
      <c r="K12" s="9" t="n">
        <v>0.6543</v>
      </c>
      <c r="L12" s="9" t="n">
        <v>496.7828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inlineStr">
        <is>
          <t>HKD</t>
        </is>
      </c>
      <c r="E13" s="4" t="n">
        <v>5.7426</v>
      </c>
      <c r="F13" s="4" t="n">
        <v>8.613899999999999</v>
      </c>
      <c r="G13" s="4" t="n">
        <v>13.208</v>
      </c>
      <c r="H13" s="4" t="n">
        <v>17.2279</v>
      </c>
      <c r="I13" s="4" t="n">
        <v>17.2279</v>
      </c>
      <c r="J13" s="6" t="inlineStr">
        <is>
          <t>非常便宜</t>
        </is>
      </c>
      <c r="K13" s="4" t="n">
        <v>0.4898</v>
      </c>
      <c r="L13" s="4" t="n">
        <v>8.613899999999999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9.045</v>
      </c>
      <c r="D14" s="12" t="inlineStr">
        <is>
          <t>HKD</t>
        </is>
      </c>
      <c r="E14" s="14" t="n">
        <v>5.7902</v>
      </c>
      <c r="F14" s="14" t="n">
        <v>8.6853</v>
      </c>
      <c r="G14" s="14" t="n">
        <v>13.3175</v>
      </c>
      <c r="H14" s="14" t="n">
        <v>17.3707</v>
      </c>
      <c r="I14" s="14" t="n">
        <v>17.3707</v>
      </c>
      <c r="J14" s="16" t="inlineStr">
        <is>
          <t>合理</t>
        </is>
      </c>
      <c r="K14" s="14" t="n">
        <v>0.7811</v>
      </c>
      <c r="L14" s="14" t="n">
        <v>8.6853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19.78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0.3704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9.640000000000001</v>
      </c>
      <c r="D16" s="2" t="inlineStr">
        <is>
          <t>HKD</t>
        </is>
      </c>
      <c r="E16" s="4" t="n">
        <v>11.5386</v>
      </c>
      <c r="F16" s="4" t="n">
        <v>17.3079</v>
      </c>
      <c r="G16" s="4" t="n">
        <v>26.5388</v>
      </c>
      <c r="H16" s="4" t="n">
        <v>34.6158</v>
      </c>
      <c r="I16" s="4" t="n">
        <v>34.6158</v>
      </c>
      <c r="J16" s="6" t="inlineStr">
        <is>
          <t>非常便宜</t>
        </is>
      </c>
      <c r="K16" s="4" t="n">
        <v>0.4177</v>
      </c>
      <c r="L16" s="4" t="n">
        <v>17.3079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23.62</v>
      </c>
      <c r="D17" s="2" t="inlineStr">
        <is>
          <t>HKD</t>
        </is>
      </c>
      <c r="E17" s="4" t="n">
        <v>35.9815</v>
      </c>
      <c r="F17" s="4" t="n">
        <v>53.9722</v>
      </c>
      <c r="G17" s="4" t="n">
        <v>82.7573</v>
      </c>
      <c r="H17" s="4" t="n">
        <v>107.9444</v>
      </c>
      <c r="I17" s="4" t="n">
        <v>107.9444</v>
      </c>
      <c r="J17" s="6" t="inlineStr">
        <is>
          <t>非常便宜</t>
        </is>
      </c>
      <c r="K17" s="4" t="n">
        <v>0.3282</v>
      </c>
      <c r="L17" s="4" t="n">
        <v>53.9722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0.07389999999999999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79.25</v>
      </c>
      <c r="D19" s="12" t="inlineStr">
        <is>
          <t>HKD</t>
        </is>
      </c>
      <c r="E19" s="14" t="n">
        <v>44.9394</v>
      </c>
      <c r="F19" s="14" t="n">
        <v>67.4091</v>
      </c>
      <c r="G19" s="14" t="n">
        <v>103.3606</v>
      </c>
      <c r="H19" s="14" t="n">
        <v>134.8181</v>
      </c>
      <c r="I19" s="14" t="n">
        <v>134.8181</v>
      </c>
      <c r="J19" s="16" t="inlineStr">
        <is>
          <t>合理</t>
        </is>
      </c>
      <c r="K19" s="14" t="n">
        <v>0.8817</v>
      </c>
      <c r="L19" s="14" t="n">
        <v>67.4091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5.62</v>
      </c>
      <c r="D20" s="27" t="inlineStr">
        <is>
          <t>HKD</t>
        </is>
      </c>
      <c r="E20" s="29" t="n">
        <v>79.25709999999999</v>
      </c>
      <c r="F20" s="29" t="n">
        <v>118.8856</v>
      </c>
      <c r="G20" s="29" t="n">
        <v>182.2913</v>
      </c>
      <c r="H20" s="29" t="n">
        <v>237.7712</v>
      </c>
      <c r="I20" s="29" t="n">
        <v>237.7712</v>
      </c>
      <c r="J20" s="31" t="inlineStr">
        <is>
          <t>無法估值</t>
        </is>
      </c>
      <c r="K20" s="29" t="n">
        <v>0.0355</v>
      </c>
      <c r="L20" s="29" t="n">
        <v>103.0342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inlineStr">
        <is>
          <t>HKD</t>
        </is>
      </c>
      <c r="E21" s="24" t="n">
        <v>3.4592</v>
      </c>
      <c r="F21" s="24" t="n">
        <v>5.1888</v>
      </c>
      <c r="G21" s="24" t="n">
        <v>7.9562</v>
      </c>
      <c r="H21" s="24" t="n">
        <v>10.3776</v>
      </c>
      <c r="I21" s="24" t="n">
        <v>10.3776</v>
      </c>
      <c r="J21" s="26" t="inlineStr">
        <is>
          <t>非常昂貴</t>
        </is>
      </c>
      <c r="K21" s="24" t="n">
        <v>8.838800000000001</v>
      </c>
      <c r="L21" s="24" t="n">
        <v>5.1888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35.4</v>
      </c>
      <c r="D22" s="12" t="inlineStr">
        <is>
          <t>HKD</t>
        </is>
      </c>
      <c r="E22" s="14" t="n">
        <v>15.8242</v>
      </c>
      <c r="F22" s="14" t="n">
        <v>23.7363</v>
      </c>
      <c r="G22" s="14" t="n">
        <v>36.3957</v>
      </c>
      <c r="H22" s="14" t="n">
        <v>47.4727</v>
      </c>
      <c r="I22" s="14" t="n">
        <v>47.4727</v>
      </c>
      <c r="J22" s="16" t="inlineStr">
        <is>
          <t>合理</t>
        </is>
      </c>
      <c r="K22" s="14" t="n">
        <v>1.1185</v>
      </c>
      <c r="L22" s="14" t="n">
        <v>23.7363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7.675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0.07770000000000001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25.28</v>
      </c>
      <c r="D24" s="12" t="inlineStr">
        <is>
          <t>HKD</t>
        </is>
      </c>
      <c r="E24" s="14" t="n">
        <v>14.4267</v>
      </c>
      <c r="F24" s="14" t="n">
        <v>21.64</v>
      </c>
      <c r="G24" s="14" t="n">
        <v>33.1814</v>
      </c>
      <c r="H24" s="14" t="n">
        <v>43.2801</v>
      </c>
      <c r="I24" s="14" t="n">
        <v>43.2801</v>
      </c>
      <c r="J24" s="16" t="inlineStr">
        <is>
          <t>合理</t>
        </is>
      </c>
      <c r="K24" s="14" t="n">
        <v>0.8762</v>
      </c>
      <c r="L24" s="14" t="n">
        <v>21.64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3.02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1.3004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52.8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0.0752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212.6</v>
      </c>
      <c r="D28" s="22" t="inlineStr">
        <is>
          <t>HKD</t>
        </is>
      </c>
      <c r="E28" s="24" t="n">
        <v>51.6712</v>
      </c>
      <c r="F28" s="24" t="n">
        <v>77.5068</v>
      </c>
      <c r="G28" s="24" t="n">
        <v>118.8438</v>
      </c>
      <c r="H28" s="24" t="n">
        <v>155.0137</v>
      </c>
      <c r="I28" s="24" t="n">
        <v>155.0137</v>
      </c>
      <c r="J28" s="26" t="inlineStr">
        <is>
          <t>非常昂貴</t>
        </is>
      </c>
      <c r="K28" s="24" t="n">
        <v>2.0572</v>
      </c>
      <c r="L28" s="24" t="n">
        <v>77.5068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3.33</v>
      </c>
      <c r="D29" s="2" t="inlineStr">
        <is>
          <t>HKD</t>
        </is>
      </c>
      <c r="E29" s="4" t="n">
        <v>6.6413</v>
      </c>
      <c r="F29" s="4" t="n">
        <v>9.9619</v>
      </c>
      <c r="G29" s="4" t="n">
        <v>15.2749</v>
      </c>
      <c r="H29" s="4" t="n">
        <v>19.9238</v>
      </c>
      <c r="I29" s="4" t="n">
        <v>19.9238</v>
      </c>
      <c r="J29" s="6" t="inlineStr">
        <is>
          <t>非常便宜</t>
        </is>
      </c>
      <c r="K29" s="4" t="n">
        <v>0.2507</v>
      </c>
      <c r="L29" s="4" t="n">
        <v>9.9619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48.42</v>
      </c>
      <c r="D30" s="7" t="inlineStr">
        <is>
          <t>HKD</t>
        </is>
      </c>
      <c r="E30" s="9" t="n">
        <v>42.261</v>
      </c>
      <c r="F30" s="9" t="n">
        <v>63.3914</v>
      </c>
      <c r="G30" s="9" t="n">
        <v>97.2002</v>
      </c>
      <c r="H30" s="9" t="n">
        <v>126.7829</v>
      </c>
      <c r="I30" s="9" t="n">
        <v>126.7829</v>
      </c>
      <c r="J30" s="11" t="inlineStr">
        <is>
          <t>便宜</t>
        </is>
      </c>
      <c r="K30" s="9" t="n">
        <v>0.5729</v>
      </c>
      <c r="L30" s="9" t="n">
        <v>63.3914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71.34999999999999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5.0951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483</v>
      </c>
      <c r="D32" s="17" t="inlineStr">
        <is>
          <t>HKD</t>
        </is>
      </c>
      <c r="E32" s="19" t="n">
        <v>192.0227</v>
      </c>
      <c r="F32" s="19" t="n">
        <v>288.0341</v>
      </c>
      <c r="G32" s="19" t="n">
        <v>441.6522</v>
      </c>
      <c r="H32" s="19" t="n">
        <v>576.0681</v>
      </c>
      <c r="I32" s="19" t="n">
        <v>576.0681</v>
      </c>
      <c r="J32" s="21" t="inlineStr">
        <is>
          <t>昂貴</t>
        </is>
      </c>
      <c r="K32" s="19" t="n">
        <v>1.2577</v>
      </c>
      <c r="L32" s="19" t="n">
        <v>288.0341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50.9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0.0862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4.025</v>
      </c>
      <c r="D34" s="2" t="inlineStr">
        <is>
          <t>HKD</t>
        </is>
      </c>
      <c r="E34" s="4" t="n">
        <v>4.1644</v>
      </c>
      <c r="F34" s="4" t="n">
        <v>6.2466</v>
      </c>
      <c r="G34" s="4" t="n">
        <v>9.578200000000001</v>
      </c>
      <c r="H34" s="4" t="n">
        <v>12.4933</v>
      </c>
      <c r="I34" s="4" t="n">
        <v>12.4933</v>
      </c>
      <c r="J34" s="6" t="inlineStr">
        <is>
          <t>非常便宜</t>
        </is>
      </c>
      <c r="K34" s="4" t="n">
        <v>0.4833</v>
      </c>
      <c r="L34" s="4" t="n">
        <v>6.2466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</v>
      </c>
      <c r="D35" s="22" t="inlineStr">
        <is>
          <t>HKD</t>
        </is>
      </c>
      <c r="E35" s="24" t="n">
        <v>6.1246</v>
      </c>
      <c r="F35" s="24" t="n">
        <v>9.186999999999999</v>
      </c>
      <c r="G35" s="24" t="n">
        <v>14.0867</v>
      </c>
      <c r="H35" s="24" t="n">
        <v>18.3739</v>
      </c>
      <c r="I35" s="24" t="n">
        <v>18.3739</v>
      </c>
      <c r="J35" s="26" t="inlineStr">
        <is>
          <t>非常昂貴</t>
        </is>
      </c>
      <c r="K35" s="24" t="n">
        <v>1.7144</v>
      </c>
      <c r="L35" s="24" t="n">
        <v>9.186999999999999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103.7</v>
      </c>
      <c r="D36" s="12" t="inlineStr">
        <is>
          <t>HKD</t>
        </is>
      </c>
      <c r="E36" s="14" t="n">
        <v>68.28230000000001</v>
      </c>
      <c r="F36" s="14" t="n">
        <v>102.4234</v>
      </c>
      <c r="G36" s="14" t="n">
        <v>157.0492</v>
      </c>
      <c r="H36" s="14" t="n">
        <v>204.8468</v>
      </c>
      <c r="I36" s="14" t="n">
        <v>204.8468</v>
      </c>
      <c r="J36" s="16" t="inlineStr">
        <is>
          <t>合理</t>
        </is>
      </c>
      <c r="K36" s="14" t="n">
        <v>0.7593</v>
      </c>
      <c r="L36" s="14" t="n">
        <v>102.4234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308</v>
      </c>
      <c r="D37" s="7" t="inlineStr">
        <is>
          <t>HKD</t>
        </is>
      </c>
      <c r="E37" s="9" t="n">
        <v>216.0928</v>
      </c>
      <c r="F37" s="9" t="n">
        <v>324.1392</v>
      </c>
      <c r="G37" s="9" t="n">
        <v>497.0135</v>
      </c>
      <c r="H37" s="9" t="n">
        <v>648.2785</v>
      </c>
      <c r="I37" s="9" t="n">
        <v>648.2785</v>
      </c>
      <c r="J37" s="11" t="inlineStr">
        <is>
          <t>便宜</t>
        </is>
      </c>
      <c r="K37" s="9" t="n">
        <v>0.7127</v>
      </c>
      <c r="L37" s="9" t="n">
        <v>324.1392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106.2</v>
      </c>
      <c r="D38" s="22" t="inlineStr">
        <is>
          <t>HKD</t>
        </is>
      </c>
      <c r="E38" s="24" t="n">
        <v>34.1937</v>
      </c>
      <c r="F38" s="24" t="n">
        <v>51.2906</v>
      </c>
      <c r="G38" s="24" t="n">
        <v>78.6456</v>
      </c>
      <c r="H38" s="24" t="n">
        <v>102.5812</v>
      </c>
      <c r="I38" s="24" t="n">
        <v>102.5812</v>
      </c>
      <c r="J38" s="26" t="inlineStr">
        <is>
          <t>非常昂貴</t>
        </is>
      </c>
      <c r="K38" s="24" t="n">
        <v>1.5529</v>
      </c>
      <c r="L38" s="24" t="n">
        <v>51.2906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190.3</v>
      </c>
      <c r="D39" s="7" t="inlineStr">
        <is>
          <t>HKD</t>
        </is>
      </c>
      <c r="E39" s="9" t="n">
        <v>150.8163</v>
      </c>
      <c r="F39" s="9" t="n">
        <v>226.2244</v>
      </c>
      <c r="G39" s="9" t="n">
        <v>346.8774</v>
      </c>
      <c r="H39" s="9" t="n">
        <v>452.4488</v>
      </c>
      <c r="I39" s="9" t="n">
        <v>452.4488</v>
      </c>
      <c r="J39" s="11" t="inlineStr">
        <is>
          <t>便宜</t>
        </is>
      </c>
      <c r="K39" s="9" t="n">
        <v>0.6309</v>
      </c>
      <c r="L39" s="9" t="n">
        <v>226.2244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81.29000000000001</v>
      </c>
      <c r="D40" s="7" t="inlineStr">
        <is>
          <t>CNY</t>
        </is>
      </c>
      <c r="E40" s="9" t="n">
        <v>63.1929</v>
      </c>
      <c r="F40" s="9" t="n">
        <v>94.7894</v>
      </c>
      <c r="G40" s="9" t="n">
        <v>145.3437</v>
      </c>
      <c r="H40" s="9" t="n">
        <v>189.5787</v>
      </c>
      <c r="I40" s="9" t="n">
        <v>189.5787</v>
      </c>
      <c r="J40" s="11" t="inlineStr">
        <is>
          <t>便宜</t>
        </is>
      </c>
      <c r="K40" s="9" t="n">
        <v>0.6432</v>
      </c>
      <c r="L40" s="9" t="n">
        <v>94.7894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158.55</v>
      </c>
      <c r="D41" s="12" t="inlineStr">
        <is>
          <t>CNY</t>
        </is>
      </c>
      <c r="E41" s="14" t="n">
        <v>100.1508</v>
      </c>
      <c r="F41" s="14" t="n">
        <v>150.2262</v>
      </c>
      <c r="G41" s="14" t="n">
        <v>230.3469</v>
      </c>
      <c r="H41" s="14" t="n">
        <v>300.4525</v>
      </c>
      <c r="I41" s="14" t="n">
        <v>300.4525</v>
      </c>
      <c r="J41" s="16" t="inlineStr">
        <is>
          <t>合理</t>
        </is>
      </c>
      <c r="K41" s="14" t="n">
        <v>0.7916</v>
      </c>
      <c r="L41" s="14" t="n">
        <v>150.2262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45.46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1.5963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116.35</v>
      </c>
      <c r="D43" s="22" t="inlineStr">
        <is>
          <t>CNY</t>
        </is>
      </c>
      <c r="E43" s="24" t="n">
        <v>25.2768</v>
      </c>
      <c r="F43" s="24" t="n">
        <v>37.9152</v>
      </c>
      <c r="G43" s="24" t="n">
        <v>58.1367</v>
      </c>
      <c r="H43" s="24" t="n">
        <v>75.8304</v>
      </c>
      <c r="I43" s="24" t="n">
        <v>75.8304</v>
      </c>
      <c r="J43" s="26" t="inlineStr">
        <is>
          <t>非常昂貴</t>
        </is>
      </c>
      <c r="K43" s="24" t="n">
        <v>2.3015</v>
      </c>
      <c r="L43" s="24" t="n">
        <v>37.9152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1233.47</v>
      </c>
      <c r="D44" s="12" t="inlineStr">
        <is>
          <t>CNY</t>
        </is>
      </c>
      <c r="E44" s="14" t="n">
        <v>593.4177</v>
      </c>
      <c r="F44" s="14" t="n">
        <v>890.1265</v>
      </c>
      <c r="G44" s="14" t="n">
        <v>1364.8606</v>
      </c>
      <c r="H44" s="14" t="n">
        <v>1780.253</v>
      </c>
      <c r="I44" s="14" t="n">
        <v>1780.253</v>
      </c>
      <c r="J44" s="16" t="inlineStr">
        <is>
          <t>合理</t>
        </is>
      </c>
      <c r="K44" s="14" t="n">
        <v>1.0393</v>
      </c>
      <c r="L44" s="14" t="n">
        <v>890.1265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28.45</v>
      </c>
      <c r="D45" s="17" t="inlineStr">
        <is>
          <t>CNY</t>
        </is>
      </c>
      <c r="E45" s="19" t="n">
        <v>10.2831</v>
      </c>
      <c r="F45" s="19" t="n">
        <v>15.4247</v>
      </c>
      <c r="G45" s="19" t="n">
        <v>23.6512</v>
      </c>
      <c r="H45" s="19" t="n">
        <v>30.8494</v>
      </c>
      <c r="I45" s="19" t="n">
        <v>30.8494</v>
      </c>
      <c r="J45" s="21" t="inlineStr">
        <is>
          <t>昂貴</t>
        </is>
      </c>
      <c r="K45" s="19" t="n">
        <v>1.3833</v>
      </c>
      <c r="L45" s="19" t="n">
        <v>15.4247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58.51</v>
      </c>
      <c r="D46" s="22" t="inlineStr">
        <is>
          <t>CNY</t>
        </is>
      </c>
      <c r="E46" s="24" t="n">
        <v>17.8878</v>
      </c>
      <c r="F46" s="24" t="n">
        <v>26.8317</v>
      </c>
      <c r="G46" s="24" t="n">
        <v>41.1419</v>
      </c>
      <c r="H46" s="24" t="n">
        <v>53.6633</v>
      </c>
      <c r="I46" s="24" t="n">
        <v>53.6633</v>
      </c>
      <c r="J46" s="26" t="inlineStr">
        <is>
          <t>非常昂貴</t>
        </is>
      </c>
      <c r="K46" s="24" t="n">
        <v>1.6355</v>
      </c>
      <c r="L46" s="24" t="n">
        <v>26.8317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54.78</v>
      </c>
      <c r="D47" s="7" t="inlineStr">
        <is>
          <t>CNY</t>
        </is>
      </c>
      <c r="E47" s="9" t="n">
        <v>50.4752</v>
      </c>
      <c r="F47" s="9" t="n">
        <v>75.7127</v>
      </c>
      <c r="G47" s="9" t="n">
        <v>116.0929</v>
      </c>
      <c r="H47" s="9" t="n">
        <v>151.4255</v>
      </c>
      <c r="I47" s="9" t="n">
        <v>151.4255</v>
      </c>
      <c r="J47" s="11" t="inlineStr">
        <is>
          <t>便宜</t>
        </is>
      </c>
      <c r="K47" s="9" t="n">
        <v>0.5426</v>
      </c>
      <c r="L47" s="9" t="n">
        <v>75.7127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77.02</v>
      </c>
      <c r="D48" s="7" t="inlineStr">
        <is>
          <t>CNY</t>
        </is>
      </c>
      <c r="E48" s="9" t="n">
        <v>56.5755</v>
      </c>
      <c r="F48" s="9" t="n">
        <v>84.86320000000001</v>
      </c>
      <c r="G48" s="9" t="n">
        <v>130.1236</v>
      </c>
      <c r="H48" s="9" t="n">
        <v>169.7264</v>
      </c>
      <c r="I48" s="9" t="n">
        <v>169.7264</v>
      </c>
      <c r="J48" s="11" t="inlineStr">
        <is>
          <t>便宜</t>
        </is>
      </c>
      <c r="K48" s="9" t="n">
        <v>0.6807</v>
      </c>
      <c r="L48" s="9" t="n">
        <v>84.86320000000001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324.82</v>
      </c>
      <c r="D49" s="22" t="inlineStr">
        <is>
          <t>CNY</t>
        </is>
      </c>
      <c r="E49" s="24" t="n">
        <v>39.507</v>
      </c>
      <c r="F49" s="24" t="n">
        <v>59.2605</v>
      </c>
      <c r="G49" s="24" t="n">
        <v>90.8661</v>
      </c>
      <c r="H49" s="24" t="n">
        <v>118.521</v>
      </c>
      <c r="I49" s="24" t="n">
        <v>118.521</v>
      </c>
      <c r="J49" s="26" t="inlineStr">
        <is>
          <t>非常昂貴</t>
        </is>
      </c>
      <c r="K49" s="24" t="n">
        <v>4.1109</v>
      </c>
      <c r="L49" s="24" t="n">
        <v>59.2605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276.5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26.5623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456.24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68.2948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158.5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1.21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81.55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38.37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30.14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32.22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4.46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390.4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433.4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9.045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19.78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9.640000000000001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23.62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5.62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7.675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25.28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3.02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52.8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212.6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3.33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48.42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71.34999999999999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483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50.9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4.025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103.7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106.2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190.3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81.29000000000001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158.55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45.46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116.35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1233.47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28.45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58.51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54.78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77.02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324.82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276.5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456.24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158.5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5.215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1.21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81.55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38.37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30.14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32.22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4.46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390.4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433.4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便宜</t>
        </is>
      </c>
      <c r="H13" s="2" t="n">
        <v>93.7</v>
      </c>
      <c r="I13" s="3" t="inlineStr">
        <is>
          <t>連續十年獲利、淨現金穩健，惟ROE僅4.2%反映重資產低回報本質</t>
        </is>
      </c>
      <c r="J13" s="3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3" t="inlineStr">
        <is>
          <t>ROE/ROIC長期低於股權成本8.7% / 流動比率0.70偏離安全標準 / FCFF終值佔比69%依賴假設</t>
        </is>
      </c>
      <c r="L13" s="2" t="inlineStr">
        <is>
          <t>qwen3.8-max</t>
        </is>
      </c>
      <c r="M13" s="2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9.045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85.90000000000001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19.78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9.640000000000001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23.62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79.25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5.62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35.4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7.675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25.28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3.02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52.8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212.6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3.33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48.42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71.34999999999999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483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50.9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4.025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103.7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308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106.2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190.3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81.29000000000001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158.55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45.46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116.35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1233.47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28.45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58.51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54.78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77.02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324.82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276.5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456.24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2026-09-29T02:02:34Z</dcterms:created>
  <dcterms:modified xmlns:dcterms="http://purl.org/dc/terms/" xmlns:xsi="http://www.w3.org/2001/XMLSchema-instance" xsi:type="dcterms:W3CDTF">2026-09-29T02:02:38Z</dcterms:modified>
</cp:coreProperties>
</file>