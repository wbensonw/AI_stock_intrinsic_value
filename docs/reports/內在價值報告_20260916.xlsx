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24.76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71.7338</v>
      </c>
      <c r="J2" s="4" t="n">
        <v>41.3348</v>
      </c>
      <c r="K2" s="4" t="n">
        <v>67.77670000000001</v>
      </c>
      <c r="L2" s="5" t="n">
        <v>-65.5</v>
      </c>
      <c r="M2" s="5" t="n">
        <v>25</v>
      </c>
      <c r="N2" s="4" t="n">
        <v>53.8004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2026-09-16</t>
        </is>
      </c>
      <c r="AF2" s="3" t="inlineStr">
        <is>
          <t>缺關鍵科目：capex / 報表幣別 CNY → 交易幣別 HKD，匯率 1.1641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3.325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13.2428</v>
      </c>
      <c r="J3" s="4" t="n">
        <v>6.861</v>
      </c>
      <c r="K3" s="4" t="n">
        <v>11.2318</v>
      </c>
      <c r="L3" s="5" t="n">
        <v>-74.90000000000001</v>
      </c>
      <c r="M3" s="5" t="n">
        <v>25</v>
      </c>
      <c r="N3" s="4" t="n">
        <v>9.9321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2026-09-16</t>
        </is>
      </c>
      <c r="AF3" s="3" t="inlineStr">
        <is>
          <t>報表幣別 CNY → 交易幣別 HKD，匯率 1.1641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9.994999999999999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22.9934</v>
      </c>
      <c r="J4" s="4" t="n">
        <v>14.8151</v>
      </c>
      <c r="K4" s="4" t="n">
        <v>15.5519</v>
      </c>
      <c r="L4" s="5" t="n">
        <v>-56.5</v>
      </c>
      <c r="M4" s="5" t="n">
        <v>25</v>
      </c>
      <c r="N4" s="4" t="n">
        <v>17.2451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99.40000000000001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2026-09-16</t>
        </is>
      </c>
      <c r="AF4" s="3" t="inlineStr">
        <is>
          <t>報表幣別 CNY → 交易幣別 HKD，匯率 1.1641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38.23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142.5472</v>
      </c>
      <c r="J5" s="4" t="n">
        <v>55.8024</v>
      </c>
      <c r="K5" s="4" t="n">
        <v>151.0522</v>
      </c>
      <c r="L5" s="5" t="n">
        <v>-73.2</v>
      </c>
      <c r="M5" s="5" t="n">
        <v>25</v>
      </c>
      <c r="N5" s="4" t="n">
        <v>106.9104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連續十年獲利、淨現金充裕，惟營收三年負成長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2026-09-16</t>
        </is>
      </c>
      <c r="AF5" s="3" t="inlineStr"/>
    </row>
    <row r="6">
      <c r="A6" s="2" t="inlineStr">
        <is>
          <t>US</t>
        </is>
      </c>
      <c r="B6" s="2" t="inlineStr">
        <is>
          <t>TSM</t>
        </is>
      </c>
      <c r="C6" s="3" t="inlineStr">
        <is>
          <t>台积电</t>
        </is>
      </c>
      <c r="D6" s="4" t="n">
        <v>418.52</v>
      </c>
      <c r="E6" s="3" t="inlineStr"/>
      <c r="F6" s="2" t="inlineStr">
        <is>
          <t>growth</t>
        </is>
      </c>
      <c r="G6" s="2" t="inlineStr">
        <is>
          <t>USD</t>
        </is>
      </c>
      <c r="H6" s="3" t="inlineStr"/>
      <c r="I6" s="4" t="n">
        <v>6265.3212</v>
      </c>
      <c r="J6" s="4" t="n">
        <v>539.3388</v>
      </c>
      <c r="K6" s="4" t="n">
        <v>5285.4917</v>
      </c>
      <c r="L6" s="5" t="n">
        <v>-93.3</v>
      </c>
      <c r="M6" s="5" t="n">
        <v>25</v>
      </c>
      <c r="N6" s="4" t="n">
        <v>4698.9909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7.5</v>
      </c>
      <c r="S6" s="2" t="inlineStr">
        <is>
          <t>★★★★☆</t>
        </is>
      </c>
      <c r="T6" s="2" t="n">
        <v>8</v>
      </c>
      <c r="U6" s="2" t="n">
        <v>8.5</v>
      </c>
      <c r="V6" s="2" t="n">
        <v>7</v>
      </c>
      <c r="W6" s="2" t="n">
        <v>79.90000000000001</v>
      </c>
      <c r="X6" s="3" t="inlineStr">
        <is>
          <t>毛利率近70%、幾乎零有息負債、營收持續雙位數成長</t>
        </is>
      </c>
      <c r="Y6" s="5" t="n">
        <v>12.7</v>
      </c>
      <c r="Z6" s="5" t="n">
        <v>22.3</v>
      </c>
      <c r="AA6" s="5" t="n">
        <v>69.8</v>
      </c>
      <c r="AB6" s="5" t="n">
        <v>30.9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2026-09-16</t>
        </is>
      </c>
      <c r="AF6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7">
      <c r="A7" s="2" t="inlineStr">
        <is>
          <t>HK</t>
        </is>
      </c>
      <c r="B7" s="2" t="inlineStr">
        <is>
          <t>00297</t>
        </is>
      </c>
      <c r="C7" s="3" t="inlineStr">
        <is>
          <t>中化化肥</t>
        </is>
      </c>
      <c r="D7" s="4" t="n">
        <v>1.25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3.8031</v>
      </c>
      <c r="J7" s="4" t="n">
        <v>2.2079</v>
      </c>
      <c r="K7" s="4" t="n">
        <v>2.9007</v>
      </c>
      <c r="L7" s="5" t="n">
        <v>-67.09999999999999</v>
      </c>
      <c r="M7" s="5" t="n">
        <v>25</v>
      </c>
      <c r="N7" s="4" t="n">
        <v>2.8523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6</v>
      </c>
      <c r="V7" s="2" t="n">
        <v>6.5</v>
      </c>
      <c r="W7" s="2" t="n">
        <v>96.7</v>
      </c>
      <c r="X7" s="3" t="inlineStr">
        <is>
          <t>低負債淨現金充裕，獲利回穩但毛利率僅11.7%、歷史波動大</t>
        </is>
      </c>
      <c r="Y7" s="5" t="n">
        <v>11.1</v>
      </c>
      <c r="Z7" s="5" t="n">
        <v>13.5</v>
      </c>
      <c r="AA7" s="5" t="n">
        <v>11.7</v>
      </c>
      <c r="AB7" s="5" t="n">
        <v>45.7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2026-09-16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03968</t>
        </is>
      </c>
      <c r="C8" s="3" t="inlineStr">
        <is>
          <t>招商银行</t>
        </is>
      </c>
      <c r="D8" s="4" t="n">
        <v>51.25</v>
      </c>
      <c r="E8" s="3" t="inlineStr"/>
      <c r="F8" s="2" t="inlineStr">
        <is>
          <t>financial</t>
        </is>
      </c>
      <c r="G8" s="2" t="inlineStr">
        <is>
          <t>HKD</t>
        </is>
      </c>
      <c r="H8" s="3" t="inlineStr"/>
      <c r="I8" s="4" t="n">
        <v>588.5381</v>
      </c>
      <c r="J8" s="4" t="n">
        <v>32.241</v>
      </c>
      <c r="K8" s="4" t="n">
        <v>132.0587</v>
      </c>
      <c r="L8" s="5" t="n">
        <v>-91.3</v>
      </c>
      <c r="M8" s="5" t="n">
        <v>25</v>
      </c>
      <c r="N8" s="4" t="n">
        <v>441.4036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6.8</v>
      </c>
      <c r="S8" s="2" t="inlineStr">
        <is>
          <t>★★★☆☆</t>
        </is>
      </c>
      <c r="T8" s="2" t="n">
        <v>6</v>
      </c>
      <c r="U8" s="2" t="n">
        <v>7</v>
      </c>
      <c r="V8" s="2" t="n">
        <v>6</v>
      </c>
      <c r="W8" s="2" t="n">
        <v>86.2</v>
      </c>
      <c r="X8" s="3" t="inlineStr">
        <is>
          <t>連續十年獲利、ROE 11.3%、EPS五年CAGR 8.5%，財務體質穩健</t>
        </is>
      </c>
      <c r="Y8" s="5" t="n">
        <v>11.3</v>
      </c>
      <c r="Z8" s="5" t="n">
        <v>10.9</v>
      </c>
      <c r="AA8" s="5" t="inlineStr"/>
      <c r="AB8" s="5" t="n">
        <v>90.2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2026-09-16</t>
        </is>
      </c>
      <c r="AF8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18.78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-64.8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6</v>
      </c>
      <c r="U9" s="2" t="n">
        <v>6</v>
      </c>
      <c r="V9" s="2" t="n">
        <v>6.5</v>
      </c>
      <c r="W9" s="2" t="n">
        <v>88.3</v>
      </c>
      <c r="X9" s="3" t="inlineStr">
        <is>
          <t>十年連續獲利但高槓桿與極薄自由現金流制約財務彈性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2026-09-16</t>
        </is>
      </c>
      <c r="AF9" s="3" t="inlineStr"/>
    </row>
    <row r="10">
      <c r="A10" s="2" t="inlineStr">
        <is>
          <t>US</t>
        </is>
      </c>
      <c r="B10" s="2" t="inlineStr">
        <is>
          <t>BRK_B</t>
        </is>
      </c>
      <c r="C10" s="3" t="inlineStr">
        <is>
          <t>伯克希尔哈撒韦-B</t>
        </is>
      </c>
      <c r="D10" s="4" t="n">
        <v>520.47</v>
      </c>
      <c r="E10" s="3" t="inlineStr"/>
      <c r="F10" s="2" t="inlineStr">
        <is>
          <t>financial</t>
        </is>
      </c>
      <c r="G10" s="2" t="inlineStr">
        <is>
          <t>USD</t>
        </is>
      </c>
      <c r="H10" s="3" t="inlineStr">
        <is>
          <t>波克夏</t>
        </is>
      </c>
      <c r="I10" s="4" t="n">
        <v>1600617.8442</v>
      </c>
      <c r="J10" s="4" t="n">
        <v>65491.5835</v>
      </c>
      <c r="K10" s="4" t="n">
        <v>2552279.1766</v>
      </c>
      <c r="L10" s="5" t="n">
        <v>-100</v>
      </c>
      <c r="M10" s="5" t="n">
        <v>25</v>
      </c>
      <c r="N10" s="4" t="n">
        <v>1200463.3831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5.5</v>
      </c>
      <c r="S10" s="2" t="inlineStr">
        <is>
          <t>★★★☆☆</t>
        </is>
      </c>
      <c r="T10" s="2" t="n">
        <v>6.5</v>
      </c>
      <c r="U10" s="2" t="n">
        <v>6</v>
      </c>
      <c r="V10" s="2" t="n">
        <v>4</v>
      </c>
      <c r="W10" s="2" t="n">
        <v>54.1</v>
      </c>
      <c r="X10" s="3" t="inlineStr">
        <is>
          <t>資產負債極穩健、十年持續獲利，但獲利波動大且缺現金流數據</t>
        </is>
      </c>
      <c r="Y10" s="5" t="n">
        <v>4.3</v>
      </c>
      <c r="Z10" s="5" t="n">
        <v>6.2</v>
      </c>
      <c r="AA10" s="5" t="inlineStr"/>
      <c r="AB10" s="5" t="n">
        <v>40.6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2026-09-16</t>
        </is>
      </c>
      <c r="AF10" s="3" t="inlineStr">
        <is>
          <t>行情總股本(2,140,710,161)與財報EPS反推(53,742,825)差異&gt;25%，已改用反推值 / 缺關鍵科目：revenue,cfo,capex,d_and_a,current_assets,current_liab</t>
        </is>
      </c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4.58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9.313599999999999</v>
      </c>
      <c r="J11" s="4" t="n">
        <v>3.5349</v>
      </c>
      <c r="K11" s="4" t="n">
        <v>6.2714</v>
      </c>
      <c r="L11" s="5" t="n">
        <v>-50.8</v>
      </c>
      <c r="M11" s="5" t="n">
        <v>25</v>
      </c>
      <c r="N11" s="4" t="n">
        <v>6.9852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便宜</t>
        </is>
      </c>
      <c r="R11" s="2" t="n">
        <v>5</v>
      </c>
      <c r="S11" s="2" t="inlineStr">
        <is>
          <t>★★☆☆☆</t>
        </is>
      </c>
      <c r="T11" s="2" t="n">
        <v>5.5</v>
      </c>
      <c r="U11" s="2" t="n">
        <v>4.5</v>
      </c>
      <c r="V11" s="2" t="n">
        <v>4</v>
      </c>
      <c r="W11" s="2" t="n">
        <v>92.59999999999999</v>
      </c>
      <c r="X11" s="3" t="inlineStr">
        <is>
          <t>獲利極薄、營收衰退，但現金流穩健且連續派息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2026-09-16</t>
        </is>
      </c>
      <c r="AF11" s="3" t="inlineStr">
        <is>
          <t>缺關鍵科目：capex / 報表幣別 CNY → 交易幣別 HKD，匯率 1.1641</t>
        </is>
      </c>
    </row>
    <row r="12">
      <c r="A12" s="2" t="inlineStr">
        <is>
          <t>HK</t>
        </is>
      </c>
      <c r="B12" s="2" t="inlineStr">
        <is>
          <t>00939</t>
        </is>
      </c>
      <c r="C12" s="3" t="inlineStr">
        <is>
          <t>建设银行</t>
        </is>
      </c>
      <c r="D12" s="4" t="n">
        <v>9.625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130.7854</v>
      </c>
      <c r="J12" s="4" t="n">
        <v>7.1079</v>
      </c>
      <c r="K12" s="4" t="n">
        <v>20.1692</v>
      </c>
      <c r="L12" s="5" t="n">
        <v>-92.59999999999999</v>
      </c>
      <c r="M12" s="5" t="n">
        <v>25</v>
      </c>
      <c r="N12" s="4" t="n">
        <v>98.0891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4.5</v>
      </c>
      <c r="U12" s="2" t="n">
        <v>5.5</v>
      </c>
      <c r="V12" s="2" t="n">
        <v>4.5</v>
      </c>
      <c r="W12" s="2" t="n">
        <v>87.40000000000001</v>
      </c>
      <c r="X12" s="3" t="inlineStr">
        <is>
          <t>連續十年獲利、ROE穩定約9%，但成長溫和、槓桿極高</t>
        </is>
      </c>
      <c r="Y12" s="5" t="n">
        <v>9.1</v>
      </c>
      <c r="Z12" s="5" t="n">
        <v>9.1</v>
      </c>
      <c r="AA12" s="5" t="inlineStr"/>
      <c r="AB12" s="5" t="n">
        <v>91.90000000000001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2026-09-16</t>
        </is>
      </c>
      <c r="AF12" s="3" t="inlineStr">
        <is>
          <t>行情總股本(261,600,381,459)與財報EPS反推(2,818,008,461,538)差異&gt;25%，已改用反推值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7.505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98.4873</v>
      </c>
      <c r="J13" s="4" t="n">
        <v>5.5194</v>
      </c>
      <c r="K13" s="4" t="n">
        <v>13.1093</v>
      </c>
      <c r="L13" s="5" t="n">
        <v>-92.40000000000001</v>
      </c>
      <c r="M13" s="5" t="n">
        <v>25</v>
      </c>
      <c r="N13" s="4" t="n">
        <v>73.8655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4.5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</v>
      </c>
      <c r="W13" s="2" t="n">
        <v>87.8</v>
      </c>
      <c r="X13" s="3" t="inlineStr">
        <is>
          <t>十年穩定獲利派息，ROE約8.7%，成長溫和但財務體質穩健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2026-09-16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53.05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699.6943</v>
      </c>
      <c r="J14" s="4" t="n">
        <v>44.8893</v>
      </c>
      <c r="K14" s="4" t="n">
        <v>136.5623</v>
      </c>
      <c r="L14" s="5" t="n">
        <v>-92.40000000000001</v>
      </c>
      <c r="M14" s="5" t="n">
        <v>25</v>
      </c>
      <c r="N14" s="4" t="n">
        <v>524.7707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4.5</v>
      </c>
      <c r="S14" s="2" t="inlineStr">
        <is>
          <t>★★☆☆☆</t>
        </is>
      </c>
      <c r="T14" s="2" t="n">
        <v>3.5</v>
      </c>
      <c r="U14" s="2" t="n">
        <v>5.5</v>
      </c>
      <c r="V14" s="2" t="n">
        <v>5</v>
      </c>
      <c r="W14" s="2" t="n">
        <v>91.2</v>
      </c>
      <c r="X14" s="3" t="inlineStr">
        <is>
          <t>現金流充沛但獲利波動大、槓桿高，防禦檢查僅過2/7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2026-09-16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7" t="inlineStr">
        <is>
          <t>HK</t>
        </is>
      </c>
      <c r="B15" s="7" t="inlineStr">
        <is>
          <t>03998</t>
        </is>
      </c>
      <c r="C15" s="8" t="inlineStr">
        <is>
          <t>波司登</t>
        </is>
      </c>
      <c r="D15" s="9" t="n">
        <v>4.215</v>
      </c>
      <c r="E15" s="8" t="inlineStr"/>
      <c r="F15" s="7" t="inlineStr">
        <is>
          <t>growth</t>
        </is>
      </c>
      <c r="G15" s="7" t="inlineStr">
        <is>
          <t>HKD</t>
        </is>
      </c>
      <c r="H15" s="8" t="inlineStr"/>
      <c r="I15" s="9" t="n">
        <v>8.303100000000001</v>
      </c>
      <c r="J15" s="9" t="n">
        <v>3.8731</v>
      </c>
      <c r="K15" s="9" t="n">
        <v>7.0636</v>
      </c>
      <c r="L15" s="10" t="n">
        <v>-49.2</v>
      </c>
      <c r="M15" s="10" t="n">
        <v>25</v>
      </c>
      <c r="N15" s="9" t="n">
        <v>6.2274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8.199999999999999</v>
      </c>
      <c r="S15" s="7" t="inlineStr">
        <is>
          <t>★★★★☆</t>
        </is>
      </c>
      <c r="T15" s="7" t="n">
        <v>7.5</v>
      </c>
      <c r="U15" s="7" t="n">
        <v>8.5</v>
      </c>
      <c r="V15" s="7" t="n">
        <v>8</v>
      </c>
      <c r="W15" s="7" t="n">
        <v>93.09999999999999</v>
      </c>
      <c r="X15" s="8" t="inlineStr">
        <is>
          <t>連續十年獲利、ROIC達28%，現金流充沛且負債極低</t>
        </is>
      </c>
      <c r="Y15" s="10" t="n">
        <v>21.9</v>
      </c>
      <c r="Z15" s="10" t="n">
        <v>28.2</v>
      </c>
      <c r="AA15" s="10" t="n">
        <v>57.2</v>
      </c>
      <c r="AB15" s="10" t="n">
        <v>37.5</v>
      </c>
      <c r="AC15" s="7" t="inlineStr">
        <is>
          <t>2026</t>
        </is>
      </c>
      <c r="AD15" s="7" t="inlineStr">
        <is>
          <t>2026-03-31</t>
        </is>
      </c>
      <c r="AE15" s="7" t="inlineStr">
        <is>
          <t>2026-09-16</t>
        </is>
      </c>
      <c r="AF15" s="8" t="inlineStr">
        <is>
          <t>報表幣別 CNY → 交易幣別 HKD，匯率 1.1641</t>
        </is>
      </c>
    </row>
    <row r="16">
      <c r="A16" s="7" t="inlineStr">
        <is>
          <t>CN</t>
        </is>
      </c>
      <c r="B16" s="7" t="inlineStr">
        <is>
          <t>603605</t>
        </is>
      </c>
      <c r="C16" s="8" t="inlineStr">
        <is>
          <t>珀莱雅</t>
        </is>
      </c>
      <c r="D16" s="9" t="n">
        <v>56</v>
      </c>
      <c r="E16" s="8" t="inlineStr"/>
      <c r="F16" s="7" t="inlineStr">
        <is>
          <t>growth</t>
        </is>
      </c>
      <c r="G16" s="7" t="inlineStr">
        <is>
          <t>CNY</t>
        </is>
      </c>
      <c r="H16" s="8" t="inlineStr"/>
      <c r="I16" s="9" t="n">
        <v>100.9447</v>
      </c>
      <c r="J16" s="9" t="n">
        <v>56.4713</v>
      </c>
      <c r="K16" s="9" t="n">
        <v>94.1225</v>
      </c>
      <c r="L16" s="10" t="n">
        <v>-44.5</v>
      </c>
      <c r="M16" s="10" t="n">
        <v>25</v>
      </c>
      <c r="N16" s="9" t="n">
        <v>75.7086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</v>
      </c>
      <c r="S16" s="7" t="inlineStr">
        <is>
          <t>★★★★☆</t>
        </is>
      </c>
      <c r="T16" s="7" t="n">
        <v>6.5</v>
      </c>
      <c r="U16" s="7" t="n">
        <v>8.5</v>
      </c>
      <c r="V16" s="7" t="n">
        <v>7.5</v>
      </c>
      <c r="W16" s="7" t="n">
        <v>93.3</v>
      </c>
      <c r="X16" s="8" t="inlineStr">
        <is>
          <t>ROIC 83.9%、淨現金44億、自由現金流率15.7%，財務體質極強</t>
        </is>
      </c>
      <c r="Y16" s="10" t="n">
        <v>28.5</v>
      </c>
      <c r="Z16" s="10" t="n">
        <v>83.90000000000001</v>
      </c>
      <c r="AA16" s="10" t="n">
        <v>73.7</v>
      </c>
      <c r="AB16" s="10" t="n">
        <v>33.7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2026-09-16</t>
        </is>
      </c>
      <c r="AF16" s="8" t="inlineStr"/>
    </row>
    <row r="17">
      <c r="A17" s="7" t="inlineStr">
        <is>
          <t>HK</t>
        </is>
      </c>
      <c r="B17" s="7" t="inlineStr">
        <is>
          <t>09999</t>
        </is>
      </c>
      <c r="C17" s="8" t="inlineStr">
        <is>
          <t>网易</t>
        </is>
      </c>
      <c r="D17" s="9" t="n">
        <v>183.8</v>
      </c>
      <c r="E17" s="8" t="inlineStr"/>
      <c r="F17" s="7" t="inlineStr">
        <is>
          <t>mature</t>
        </is>
      </c>
      <c r="G17" s="7" t="inlineStr">
        <is>
          <t>HKD</t>
        </is>
      </c>
      <c r="H17" s="8" t="inlineStr"/>
      <c r="I17" s="9" t="n">
        <v>300.141</v>
      </c>
      <c r="J17" s="9" t="n">
        <v>153.3892</v>
      </c>
      <c r="K17" s="9" t="n">
        <v>378.6999</v>
      </c>
      <c r="L17" s="10" t="n">
        <v>-38.8</v>
      </c>
      <c r="M17" s="10" t="n">
        <v>25</v>
      </c>
      <c r="N17" s="9" t="n">
        <v>225.1058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7</v>
      </c>
      <c r="U17" s="7" t="n">
        <v>8.5</v>
      </c>
      <c r="V17" s="7" t="n">
        <v>7</v>
      </c>
      <c r="W17" s="7" t="n">
        <v>84.8</v>
      </c>
      <c r="X17" s="8" t="inlineStr">
        <is>
          <t>淨現金充裕、自由現金流率逾42%，財務體質極穩健</t>
        </is>
      </c>
      <c r="Y17" s="10" t="n">
        <v>19.5</v>
      </c>
      <c r="Z17" s="10" t="n">
        <v>777.9</v>
      </c>
      <c r="AA17" s="10" t="n">
        <v>67.2</v>
      </c>
      <c r="AB17" s="10" t="n">
        <v>26.1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2026-09-16</t>
        </is>
      </c>
      <c r="AF17" s="8" t="inlineStr">
        <is>
          <t>報表幣別 CNY → 交易幣別 HKD，匯率 1.1641</t>
        </is>
      </c>
    </row>
    <row r="18">
      <c r="A18" s="7" t="inlineStr">
        <is>
          <t>CN</t>
        </is>
      </c>
      <c r="B18" s="7" t="inlineStr">
        <is>
          <t>300274</t>
        </is>
      </c>
      <c r="C18" s="8" t="inlineStr">
        <is>
          <t>阳光电源</t>
        </is>
      </c>
      <c r="D18" s="9" t="n">
        <v>83.75</v>
      </c>
      <c r="E18" s="8" t="inlineStr"/>
      <c r="F18" s="7" t="inlineStr">
        <is>
          <t>growth</t>
        </is>
      </c>
      <c r="G18" s="7" t="inlineStr">
        <is>
          <t>CNY</t>
        </is>
      </c>
      <c r="H18" s="8" t="inlineStr"/>
      <c r="I18" s="9" t="n">
        <v>126.3758</v>
      </c>
      <c r="J18" s="9" t="n">
        <v>67.5508</v>
      </c>
      <c r="K18" s="9" t="n">
        <v>166.782</v>
      </c>
      <c r="L18" s="10" t="n">
        <v>-33.7</v>
      </c>
      <c r="M18" s="10" t="n">
        <v>25</v>
      </c>
      <c r="N18" s="9" t="n">
        <v>94.7818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85.90000000000001</v>
      </c>
      <c r="X18" s="8" t="inlineStr">
        <is>
          <t>ROIC逾41%、淨現金充裕，連續十年獲利且現金流強勁</t>
        </is>
      </c>
      <c r="Y18" s="10" t="n">
        <v>21.7</v>
      </c>
      <c r="Z18" s="10" t="n">
        <v>41.1</v>
      </c>
      <c r="AA18" s="10" t="n">
        <v>32</v>
      </c>
      <c r="AB18" s="10" t="n">
        <v>58.2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2026-09-16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434.2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660.375</v>
      </c>
      <c r="J19" s="9" t="n">
        <v>459.7468</v>
      </c>
      <c r="K19" s="9" t="n">
        <v>610.2885</v>
      </c>
      <c r="L19" s="10" t="n">
        <v>-34.2</v>
      </c>
      <c r="M19" s="10" t="n">
        <v>25</v>
      </c>
      <c r="N19" s="9" t="n">
        <v>495.2813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高毛利、ROE逾20%、自由現金流充沛的成熟平台企業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2026-09-16</t>
        </is>
      </c>
      <c r="AF19" s="8" t="inlineStr">
        <is>
          <t>報表幣別 CNY → 交易幣別 HKD，匯率 1.1641</t>
        </is>
      </c>
    </row>
    <row r="20">
      <c r="A20" s="7" t="inlineStr">
        <is>
          <t>HK</t>
        </is>
      </c>
      <c r="B20" s="7" t="inlineStr">
        <is>
          <t>00762</t>
        </is>
      </c>
      <c r="C20" s="8" t="inlineStr">
        <is>
          <t>中国联通</t>
        </is>
      </c>
      <c r="D20" s="9" t="n">
        <v>5.78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11.4444</v>
      </c>
      <c r="J20" s="9" t="n">
        <v>8.3788</v>
      </c>
      <c r="K20" s="9" t="n">
        <v>12.385</v>
      </c>
      <c r="L20" s="10" t="n">
        <v>-49.5</v>
      </c>
      <c r="M20" s="10" t="n">
        <v>25</v>
      </c>
      <c r="N20" s="9" t="n">
        <v>8.583299999999999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7.5</v>
      </c>
      <c r="U20" s="7" t="n">
        <v>6</v>
      </c>
      <c r="V20" s="7" t="n">
        <v>6.5</v>
      </c>
      <c r="W20" s="7" t="n">
        <v>93.7</v>
      </c>
      <c r="X20" s="8" t="inlineStr">
        <is>
          <t>連續十年獲利、淨現金穩健，惟ROE僅4.2%反映重資產低回報本質</t>
        </is>
      </c>
      <c r="Y20" s="10" t="n">
        <v>4.2</v>
      </c>
      <c r="Z20" s="10" t="n">
        <v>3.4</v>
      </c>
      <c r="AA20" s="10" t="n">
        <v>69</v>
      </c>
      <c r="AB20" s="10" t="n">
        <v>44.4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2026-09-16</t>
        </is>
      </c>
      <c r="AF20" s="8" t="inlineStr">
        <is>
          <t>報表幣別 CNY → 交易幣別 HKD，匯率 1.1641</t>
        </is>
      </c>
    </row>
    <row r="21">
      <c r="A21" s="7" t="inlineStr">
        <is>
          <t>HK</t>
        </is>
      </c>
      <c r="B21" s="7" t="inlineStr">
        <is>
          <t>02688</t>
        </is>
      </c>
      <c r="C21" s="8" t="inlineStr">
        <is>
          <t>新奥能源</t>
        </is>
      </c>
      <c r="D21" s="9" t="n">
        <v>50.4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84.1023</v>
      </c>
      <c r="J21" s="9" t="n">
        <v>83.2593</v>
      </c>
      <c r="K21" s="9" t="n">
        <v>106.0289</v>
      </c>
      <c r="L21" s="10" t="n">
        <v>-40.1</v>
      </c>
      <c r="M21" s="10" t="n">
        <v>25</v>
      </c>
      <c r="N21" s="9" t="n">
        <v>63.0767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</v>
      </c>
      <c r="S21" s="7" t="inlineStr">
        <is>
          <t>★★★★☆</t>
        </is>
      </c>
      <c r="T21" s="7" t="n">
        <v>6.5</v>
      </c>
      <c r="U21" s="7" t="n">
        <v>7</v>
      </c>
      <c r="V21" s="7" t="n">
        <v>7</v>
      </c>
      <c r="W21" s="7" t="n">
        <v>93</v>
      </c>
      <c r="X21" s="8" t="inlineStr">
        <is>
          <t>獲利穩定現金流充沛，成長趨緩、流動性偏緊</t>
        </is>
      </c>
      <c r="Y21" s="10" t="n">
        <v>12.8</v>
      </c>
      <c r="Z21" s="10" t="n">
        <v>11.4</v>
      </c>
      <c r="AA21" s="10" t="n">
        <v>11.9</v>
      </c>
      <c r="AB21" s="10" t="n">
        <v>48.6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2026-09-16</t>
        </is>
      </c>
      <c r="AF21" s="8" t="inlineStr">
        <is>
          <t>缺關鍵科目：d_and_a / 報表幣別 CNY → 交易幣別 HKD，匯率 1.1641</t>
        </is>
      </c>
    </row>
    <row r="22">
      <c r="A22" s="7" t="inlineStr">
        <is>
          <t>HK</t>
        </is>
      </c>
      <c r="B22" s="7" t="inlineStr">
        <is>
          <t>09961</t>
        </is>
      </c>
      <c r="C22" s="8" t="inlineStr">
        <is>
          <t>携程集团-S</t>
        </is>
      </c>
      <c r="D22" s="9" t="n">
        <v>303.6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430.9458</v>
      </c>
      <c r="J22" s="9" t="n">
        <v>252.0972</v>
      </c>
      <c r="K22" s="9" t="n">
        <v>428.4491</v>
      </c>
      <c r="L22" s="10" t="n">
        <v>-29.6</v>
      </c>
      <c r="M22" s="10" t="n">
        <v>25</v>
      </c>
      <c r="N22" s="9" t="n">
        <v>323.2093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6.5</v>
      </c>
      <c r="S22" s="7" t="inlineStr">
        <is>
          <t>★★★☆☆</t>
        </is>
      </c>
      <c r="T22" s="7" t="n">
        <v>5</v>
      </c>
      <c r="U22" s="7" t="n">
        <v>6.5</v>
      </c>
      <c r="V22" s="7" t="n">
        <v>7</v>
      </c>
      <c r="W22" s="7" t="n">
        <v>89.2</v>
      </c>
      <c r="X22" s="8" t="inlineStr">
        <is>
          <t>毛利率近90%、淨現金充裕，但ROE穩定度為零、淨利率含非營業收益</t>
        </is>
      </c>
      <c r="Y22" s="10" t="n">
        <v>19.1</v>
      </c>
      <c r="Z22" s="10" t="n">
        <v>11.7</v>
      </c>
      <c r="AA22" s="10" t="n">
        <v>89.7</v>
      </c>
      <c r="AB22" s="10" t="n">
        <v>36.7</v>
      </c>
      <c r="AC22" s="7" t="inlineStr">
        <is>
          <t>2025</t>
        </is>
      </c>
      <c r="AD22" s="7" t="inlineStr">
        <is>
          <t>2026-03-31</t>
        </is>
      </c>
      <c r="AE22" s="7" t="inlineStr">
        <is>
          <t>2026-09-16</t>
        </is>
      </c>
      <c r="AF22" s="8" t="inlineStr">
        <is>
          <t>報表幣別 CNY → 交易幣別 HKD，匯率 1.1641</t>
        </is>
      </c>
    </row>
    <row r="23">
      <c r="A23" s="7" t="inlineStr">
        <is>
          <t>US</t>
        </is>
      </c>
      <c r="B23" s="7" t="inlineStr">
        <is>
          <t>JNJ</t>
        </is>
      </c>
      <c r="C23" s="8" t="inlineStr">
        <is>
          <t>强生</t>
        </is>
      </c>
      <c r="D23" s="9" t="n">
        <v>267.14</v>
      </c>
      <c r="E23" s="8" t="inlineStr"/>
      <c r="F23" s="7" t="inlineStr">
        <is>
          <t>mature</t>
        </is>
      </c>
      <c r="G23" s="7" t="inlineStr">
        <is>
          <t>USD</t>
        </is>
      </c>
      <c r="H23" s="8" t="inlineStr"/>
      <c r="I23" s="9" t="n">
        <v>480.8071</v>
      </c>
      <c r="J23" s="9" t="n">
        <v>9.3416</v>
      </c>
      <c r="K23" s="9" t="n">
        <v>17.7687</v>
      </c>
      <c r="L23" s="10" t="n">
        <v>-44.4</v>
      </c>
      <c r="M23" s="10" t="n">
        <v>25</v>
      </c>
      <c r="N23" s="9" t="n">
        <v>360.6053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3.5</v>
      </c>
      <c r="S23" s="7" t="inlineStr">
        <is>
          <t>★★☆☆☆</t>
        </is>
      </c>
      <c r="T23" s="7" t="n">
        <v>2</v>
      </c>
      <c r="U23" s="7" t="n">
        <v>4</v>
      </c>
      <c r="V23" s="7" t="n">
        <v>3</v>
      </c>
      <c r="W23" s="7" t="n">
        <v>93.2</v>
      </c>
      <c r="X23" s="8" t="inlineStr">
        <is>
          <t>高毛利但ROIC低於WACC，現金流數據全缺，獲利品質待驗證</t>
        </is>
      </c>
      <c r="Y23" s="10" t="n">
        <v>8.300000000000001</v>
      </c>
      <c r="Z23" s="10" t="n">
        <v>6.1</v>
      </c>
      <c r="AA23" s="10" t="n">
        <v>70.09999999999999</v>
      </c>
      <c r="AB23" s="10" t="n">
        <v>57.7</v>
      </c>
      <c r="AC23" s="7" t="inlineStr">
        <is>
          <t>2025</t>
        </is>
      </c>
      <c r="AD23" s="7" t="inlineStr">
        <is>
          <t>2026-06-28</t>
        </is>
      </c>
      <c r="AE23" s="7" t="inlineStr">
        <is>
          <t>2026-09-16</t>
        </is>
      </c>
      <c r="AF23" s="8" t="inlineStr">
        <is>
          <t>缺關鍵科目：cfo,capex,d_and_a</t>
        </is>
      </c>
    </row>
    <row r="24">
      <c r="A24" s="12" t="inlineStr">
        <is>
          <t>CN</t>
        </is>
      </c>
      <c r="B24" s="12" t="inlineStr">
        <is>
          <t>600519</t>
        </is>
      </c>
      <c r="C24" s="13" t="inlineStr">
        <is>
          <t>贵州茅台</t>
        </is>
      </c>
      <c r="D24" s="14" t="n">
        <v>1264.75</v>
      </c>
      <c r="E24" s="13" t="inlineStr"/>
      <c r="F24" s="12" t="inlineStr">
        <is>
          <t>mature</t>
        </is>
      </c>
      <c r="G24" s="12" t="inlineStr">
        <is>
          <t>CNY</t>
        </is>
      </c>
      <c r="H24" s="13" t="inlineStr"/>
      <c r="I24" s="14" t="n">
        <v>1186.8348</v>
      </c>
      <c r="J24" s="14" t="n">
        <v>838.7854</v>
      </c>
      <c r="K24" s="14" t="n">
        <v>2058.441</v>
      </c>
      <c r="L24" s="15" t="n">
        <v>6.6</v>
      </c>
      <c r="M24" s="15" t="n">
        <v>25</v>
      </c>
      <c r="N24" s="14" t="n">
        <v>890.1261</v>
      </c>
      <c r="O24" s="12" t="inlineStr">
        <is>
          <t>否</t>
        </is>
      </c>
      <c r="P24" s="16" t="inlineStr">
        <is>
          <t>合理</t>
        </is>
      </c>
      <c r="Q24" s="12" t="inlineStr">
        <is>
          <t>合理</t>
        </is>
      </c>
      <c r="R24" s="12" t="n">
        <v>7.2</v>
      </c>
      <c r="S24" s="12" t="inlineStr">
        <is>
          <t>★★★★☆</t>
        </is>
      </c>
      <c r="T24" s="12" t="n">
        <v>6.5</v>
      </c>
      <c r="U24" s="12" t="n">
        <v>8.5</v>
      </c>
      <c r="V24" s="12" t="n">
        <v>7</v>
      </c>
      <c r="W24" s="12" t="n">
        <v>81.5</v>
      </c>
      <c r="X24" s="13" t="inlineStr">
        <is>
          <t>毛利率90%、ROE逾33%、近乎零負債，財務體質極強</t>
        </is>
      </c>
      <c r="Y24" s="15" t="n">
        <v>33.6</v>
      </c>
      <c r="Z24" s="15" t="n">
        <v>42.6</v>
      </c>
      <c r="AA24" s="15" t="n">
        <v>90.40000000000001</v>
      </c>
      <c r="AB24" s="15" t="n">
        <v>15.2</v>
      </c>
      <c r="AC24" s="12" t="inlineStr">
        <is>
          <t>2025</t>
        </is>
      </c>
      <c r="AD24" s="12" t="inlineStr">
        <is>
          <t>2026-06-30</t>
        </is>
      </c>
      <c r="AE24" s="12" t="inlineStr">
        <is>
          <t>2026-09-16</t>
        </is>
      </c>
      <c r="AF24" s="13" t="inlineStr"/>
    </row>
    <row r="25">
      <c r="A25" s="12" t="inlineStr">
        <is>
          <t>CN</t>
        </is>
      </c>
      <c r="B25" s="12" t="inlineStr">
        <is>
          <t>605117</t>
        </is>
      </c>
      <c r="C25" s="13" t="inlineStr">
        <is>
          <t>德业股份</t>
        </is>
      </c>
      <c r="D25" s="14" t="n">
        <v>85.59</v>
      </c>
      <c r="E25" s="13" t="inlineStr"/>
      <c r="F25" s="12" t="inlineStr">
        <is>
          <t>growth</t>
        </is>
      </c>
      <c r="G25" s="12" t="inlineStr">
        <is>
          <t>CNY</t>
        </is>
      </c>
      <c r="H25" s="13" t="inlineStr"/>
      <c r="I25" s="14" t="n">
        <v>113.1288</v>
      </c>
      <c r="J25" s="14" t="n">
        <v>55.5052</v>
      </c>
      <c r="K25" s="14" t="n">
        <v>108.9325</v>
      </c>
      <c r="L25" s="15" t="n">
        <v>-24.3</v>
      </c>
      <c r="M25" s="15" t="n">
        <v>25</v>
      </c>
      <c r="N25" s="14" t="n">
        <v>84.8466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4</v>
      </c>
      <c r="U25" s="12" t="n">
        <v>8.5</v>
      </c>
      <c r="V25" s="12" t="n">
        <v>7.5</v>
      </c>
      <c r="W25" s="12" t="n">
        <v>91.5</v>
      </c>
      <c r="X25" s="13" t="inlineStr">
        <is>
          <t>ROE近38%、自由現金流率32%，成長與獲利品質俱佳</t>
        </is>
      </c>
      <c r="Y25" s="15" t="n">
        <v>38</v>
      </c>
      <c r="Z25" s="15" t="n">
        <v>58.5</v>
      </c>
      <c r="AA25" s="15" t="n">
        <v>38</v>
      </c>
      <c r="AB25" s="15" t="n">
        <v>53.9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2026-09-16</t>
        </is>
      </c>
      <c r="AF25" s="13" t="inlineStr">
        <is>
          <t>行情總股本(1,273,282,072)與財報EPS反推(902,750,991)差異&gt;25%，已改用反推值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86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107.1841</v>
      </c>
      <c r="J26" s="14" t="n">
        <v>69.0992</v>
      </c>
      <c r="K26" s="14" t="n">
        <v>136.1654</v>
      </c>
      <c r="L26" s="15" t="n">
        <v>-19.8</v>
      </c>
      <c r="M26" s="15" t="n">
        <v>25</v>
      </c>
      <c r="N26" s="14" t="n">
        <v>80.38809999999999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88.7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2026-09-16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79.25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89.608</v>
      </c>
      <c r="J27" s="14" t="n">
        <v>87.05110000000001</v>
      </c>
      <c r="K27" s="14" t="n">
        <v>92.48090000000001</v>
      </c>
      <c r="L27" s="15" t="n">
        <v>-11.6</v>
      </c>
      <c r="M27" s="15" t="n">
        <v>25</v>
      </c>
      <c r="N27" s="14" t="n">
        <v>67.206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2026-09-16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158.92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200.3016</v>
      </c>
      <c r="J28" s="14" t="n">
        <v>116.6312</v>
      </c>
      <c r="K28" s="14" t="n">
        <v>176.872</v>
      </c>
      <c r="L28" s="15" t="n">
        <v>-20.7</v>
      </c>
      <c r="M28" s="15" t="n">
        <v>25</v>
      </c>
      <c r="N28" s="14" t="n">
        <v>150.2262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2026-09-16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8.984999999999999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11.5478</v>
      </c>
      <c r="J29" s="14" t="n">
        <v>5.7784</v>
      </c>
      <c r="K29" s="14" t="n">
        <v>14.7897</v>
      </c>
      <c r="L29" s="15" t="n">
        <v>-22.2</v>
      </c>
      <c r="M29" s="15" t="n">
        <v>25</v>
      </c>
      <c r="N29" s="14" t="n">
        <v>8.6608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2026-09-16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26.04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28.765</v>
      </c>
      <c r="J30" s="14" t="n">
        <v>18.8996</v>
      </c>
      <c r="K30" s="14" t="n">
        <v>26.4515</v>
      </c>
      <c r="L30" s="15" t="n">
        <v>-9.5</v>
      </c>
      <c r="M30" s="15" t="n">
        <v>25</v>
      </c>
      <c r="N30" s="14" t="n">
        <v>21.5738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2026-09-16</t>
        </is>
      </c>
      <c r="AF30" s="13" t="inlineStr">
        <is>
          <t>報表幣別 CNY → 交易幣別 HKD，匯率 1.1641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105.2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136.1718</v>
      </c>
      <c r="J31" s="14" t="n">
        <v>59.7871</v>
      </c>
      <c r="K31" s="14" t="n">
        <v>129.2469</v>
      </c>
      <c r="L31" s="15" t="n">
        <v>-22.7</v>
      </c>
      <c r="M31" s="15" t="n">
        <v>25</v>
      </c>
      <c r="N31" s="14" t="n">
        <v>102.1288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2026-09-16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31.94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31.6387</v>
      </c>
      <c r="J32" s="14" t="n">
        <v>16.8789</v>
      </c>
      <c r="K32" s="14" t="n">
        <v>19.8445</v>
      </c>
      <c r="L32" s="15" t="n">
        <v>1</v>
      </c>
      <c r="M32" s="15" t="n">
        <v>25</v>
      </c>
      <c r="N32" s="14" t="n">
        <v>23.729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2026-09-16</t>
        </is>
      </c>
      <c r="AF32" s="13" t="inlineStr">
        <is>
          <t>報表幣別 USD → 交易幣別 HKD，匯率 7.8425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32.8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41.1148</v>
      </c>
      <c r="J33" s="14" t="n">
        <v>11.3883</v>
      </c>
      <c r="K33" s="14" t="n">
        <v>52.1359</v>
      </c>
      <c r="L33" s="15" t="n">
        <v>-20.2</v>
      </c>
      <c r="M33" s="15" t="n">
        <v>35</v>
      </c>
      <c r="N33" s="14" t="n">
        <v>26.7246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2026-09-16</t>
        </is>
      </c>
      <c r="AF33" s="13" t="inlineStr">
        <is>
          <t>報表幣別 CNY → 交易幣別 HKD，匯率 1.1641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378.87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369.4242</v>
      </c>
      <c r="J34" s="14" t="n">
        <v>64.4277</v>
      </c>
      <c r="K34" s="14" t="n">
        <v>314.2098</v>
      </c>
      <c r="L34" s="15" t="n">
        <v>2.6</v>
      </c>
      <c r="M34" s="15" t="n">
        <v>25</v>
      </c>
      <c r="N34" s="14" t="n">
        <v>277.0682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2026-09-16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492.2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382.8678</v>
      </c>
      <c r="J35" s="19" t="n">
        <v>170.1471</v>
      </c>
      <c r="K35" s="19" t="n">
        <v>309.2126</v>
      </c>
      <c r="L35" s="20" t="n">
        <v>28.6</v>
      </c>
      <c r="M35" s="20" t="n">
        <v>25</v>
      </c>
      <c r="N35" s="19" t="n">
        <v>287.1508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2026-09-16</t>
        </is>
      </c>
      <c r="AF35" s="18" t="inlineStr">
        <is>
          <t>缺關鍵科目：d_and_a / 報表幣別 CNY → 交易幣別 HKD，匯率 1.1641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28.36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20.5689</v>
      </c>
      <c r="J36" s="19" t="n">
        <v>16.2467</v>
      </c>
      <c r="K36" s="19" t="n">
        <v>22.7622</v>
      </c>
      <c r="L36" s="20" t="n">
        <v>37.9</v>
      </c>
      <c r="M36" s="20" t="n">
        <v>25</v>
      </c>
      <c r="N36" s="19" t="n">
        <v>15.4266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2026-09-16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3.04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2.3155</v>
      </c>
      <c r="J37" s="19" t="n">
        <v>1.811</v>
      </c>
      <c r="K37" s="19" t="n">
        <v>3.9797</v>
      </c>
      <c r="L37" s="20" t="n">
        <v>31.3</v>
      </c>
      <c r="M37" s="20" t="n">
        <v>25</v>
      </c>
      <c r="N37" s="19" t="n">
        <v>1.7366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2026-09-16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28.69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23.0627</v>
      </c>
      <c r="J38" s="19" t="n">
        <v>8.570600000000001</v>
      </c>
      <c r="K38" s="19" t="n">
        <v>15.399</v>
      </c>
      <c r="L38" s="20" t="n">
        <v>24.4</v>
      </c>
      <c r="M38" s="20" t="n">
        <v>25</v>
      </c>
      <c r="N38" s="19" t="n">
        <v>17.297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2026-09-16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196.8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103.1534</v>
      </c>
      <c r="J39" s="24" t="n">
        <v>66.4631</v>
      </c>
      <c r="K39" s="24" t="n">
        <v>111.9667</v>
      </c>
      <c r="L39" s="25" t="n">
        <v>90.8</v>
      </c>
      <c r="M39" s="25" t="n">
        <v>25</v>
      </c>
      <c r="N39" s="24" t="n">
        <v>77.36499999999999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2026-09-16</t>
        </is>
      </c>
      <c r="AF39" s="23" t="inlineStr">
        <is>
          <t>報表幣別 CNY → 交易幣別 HKD，匯率 1.1641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43.22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22.6238</v>
      </c>
      <c r="L40" s="25" t="n">
        <v>51.8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2026-09-16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160.6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92.5639</v>
      </c>
      <c r="J41" s="24" t="n">
        <v>50.5815</v>
      </c>
      <c r="K41" s="24" t="n">
        <v>147.3001</v>
      </c>
      <c r="L41" s="25" t="n">
        <v>73.5</v>
      </c>
      <c r="M41" s="25" t="n">
        <v>25</v>
      </c>
      <c r="N41" s="24" t="n">
        <v>69.4229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2026-09-16</t>
        </is>
      </c>
      <c r="AF41" s="23" t="inlineStr">
        <is>
          <t xml:space="preserve">行情總股本(17,159,502,183)與財報EPS反推(163,822,314,050)差異&gt;25%，已改用反推值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116.82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50.5532</v>
      </c>
      <c r="J42" s="24" t="n">
        <v>39.5892</v>
      </c>
      <c r="K42" s="24" t="n">
        <v>50.2832</v>
      </c>
      <c r="L42" s="25" t="n">
        <v>131.1</v>
      </c>
      <c r="M42" s="25" t="n">
        <v>25</v>
      </c>
      <c r="N42" s="24" t="n">
        <v>37.9149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2026-09-16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339.53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79.0124</v>
      </c>
      <c r="J43" s="24" t="n">
        <v>56.4053</v>
      </c>
      <c r="K43" s="24" t="n">
        <v>76.496</v>
      </c>
      <c r="L43" s="25" t="n">
        <v>329.7</v>
      </c>
      <c r="M43" s="25" t="n">
        <v>25</v>
      </c>
      <c r="N43" s="24" t="n">
        <v>59.2593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2026-09-16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216.05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6.8365</v>
      </c>
      <c r="K44" s="24" t="n">
        <v>31.5866</v>
      </c>
      <c r="L44" s="25" t="n">
        <v>372.3</v>
      </c>
      <c r="M44" s="25" t="n">
        <v>25</v>
      </c>
      <c r="N44" s="24" t="n">
        <v>34.3106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2026-09-16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393.6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151.1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2026-09-16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106.6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68.1778</v>
      </c>
      <c r="J46" s="24" t="n">
        <v>58.5967</v>
      </c>
      <c r="K46" s="24" t="n">
        <v>63.9907</v>
      </c>
      <c r="L46" s="25" t="n">
        <v>56.4</v>
      </c>
      <c r="M46" s="25" t="n">
        <v>25</v>
      </c>
      <c r="N46" s="24" t="n">
        <v>51.1333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2026-09-16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21.14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12.2115</v>
      </c>
      <c r="J47" s="24" t="n">
        <v>6.6237</v>
      </c>
      <c r="K47" s="24" t="n">
        <v>9.681699999999999</v>
      </c>
      <c r="L47" s="25" t="n">
        <v>73.09999999999999</v>
      </c>
      <c r="M47" s="25" t="n">
        <v>25</v>
      </c>
      <c r="N47" s="24" t="n">
        <v>9.1586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2026-09-16</t>
        </is>
      </c>
      <c r="AF47" s="23" t="inlineStr">
        <is>
          <t>報表幣別 CNY → 交易幣別 HKD，匯率 1.1641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333.72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49.1605</v>
      </c>
      <c r="J48" s="24" t="n">
        <v>9.446</v>
      </c>
      <c r="K48" s="24" t="n">
        <v>34.7808</v>
      </c>
      <c r="L48" s="25" t="n">
        <v>578.8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172.795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21.4773</v>
      </c>
      <c r="J49" s="24" t="n">
        <v>4.7985</v>
      </c>
      <c r="K49" s="24" t="n">
        <v>5.0402</v>
      </c>
      <c r="L49" s="25" t="n">
        <v>704.5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2026-09-16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494.77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505.8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2026-09-16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60.94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35.7648</v>
      </c>
      <c r="J51" s="24" t="n">
        <v>25.5798</v>
      </c>
      <c r="K51" s="24" t="n">
        <v>36.6885</v>
      </c>
      <c r="L51" s="25" t="n">
        <v>70.40000000000001</v>
      </c>
      <c r="M51" s="25" t="n">
        <v>25</v>
      </c>
      <c r="N51" s="24" t="n">
        <v>26.8236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92.3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2026-09-16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279.49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2585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2026-09-16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1143.525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544.7394</v>
      </c>
      <c r="J53" s="24" t="n">
        <v>58.849</v>
      </c>
      <c r="K53" s="24" t="n">
        <v>202.834</v>
      </c>
      <c r="L53" s="25" t="n">
        <v>109.9</v>
      </c>
      <c r="M53" s="25" t="n">
        <v>25</v>
      </c>
      <c r="N53" s="24" t="n">
        <v>408.5545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2026-09-16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372.25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54.2596</v>
      </c>
      <c r="J54" s="24" t="n">
        <v>9.348000000000001</v>
      </c>
      <c r="K54" s="24" t="n">
        <v>61.9902</v>
      </c>
      <c r="L54" s="25" t="n">
        <v>586.1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2026-09-16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247.96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131.6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2026-09-16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346.815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2.0171</v>
      </c>
      <c r="K56" s="24" t="n">
        <v>15.3128</v>
      </c>
      <c r="L56" s="25" t="n">
        <v>451.8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2026-09-16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34.255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685.4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2026-09-16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108.39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816.1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2026-09-16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280.01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938.3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2026-09-16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88.34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528.8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2026-09-16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147.64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630.1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2026-09-16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462.6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6.6805</v>
      </c>
      <c r="J62" s="24" t="n">
        <v>4.587</v>
      </c>
      <c r="K62" s="24" t="n">
        <v>8.4762</v>
      </c>
      <c r="L62" s="25" t="n">
        <v>6824.6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2026-09-16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61.35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6.917</v>
      </c>
      <c r="J63" s="24" t="n">
        <v>3.7772</v>
      </c>
      <c r="K63" s="24" t="n">
        <v>10.4125</v>
      </c>
      <c r="L63" s="25" t="n">
        <v>786.9</v>
      </c>
      <c r="M63" s="25" t="n">
        <v>25</v>
      </c>
      <c r="N63" s="24" t="n">
        <v>5.1877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2026-09-16</t>
        </is>
      </c>
      <c r="AF63" s="23" t="inlineStr">
        <is>
          <t>報表幣別 USD → 交易幣別 HKD，匯率 7.8425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0.0963</v>
      </c>
      <c r="J64" s="24" t="n">
        <v>0.0892</v>
      </c>
      <c r="K64" s="24" t="n">
        <v>0.1246</v>
      </c>
      <c r="L64" s="25" t="n">
        <v>1146.1</v>
      </c>
      <c r="M64" s="25" t="n">
        <v>25</v>
      </c>
      <c r="N64" s="24" t="n">
        <v>0.0722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2026-09-16</t>
        </is>
      </c>
      <c r="AF64" s="23" t="inlineStr">
        <is>
          <t>報表幣別 CNY → 交易幣別 HKD，匯率 1.1641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73.90000000000001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13.9617</v>
      </c>
      <c r="J65" s="24" t="n">
        <v>4.7845</v>
      </c>
      <c r="K65" s="24" t="n">
        <v>58.1316</v>
      </c>
      <c r="L65" s="25" t="n">
        <v>429.3</v>
      </c>
      <c r="M65" s="25" t="n">
        <v>25</v>
      </c>
      <c r="N65" s="24" t="n">
        <v>10.4713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2026-09-16</t>
        </is>
      </c>
      <c r="AF65" s="23" t="inlineStr">
        <is>
          <t>報表幣別 CNY → 交易幣別 HKD，匯率 1.1641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364.31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7944.3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2026-09-16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5.27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158.04</v>
      </c>
      <c r="J67" s="29" t="n">
        <v>4.6428</v>
      </c>
      <c r="K67" s="29" t="n">
        <v>62.1445</v>
      </c>
      <c r="L67" s="30" t="n">
        <v>-96.7</v>
      </c>
      <c r="M67" s="30" t="n">
        <v>35</v>
      </c>
      <c r="N67" s="29" t="n">
        <v>102.726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2026-09-16</t>
        </is>
      </c>
      <c r="AF67" s="28" t="inlineStr">
        <is>
          <t>報表幣別 CNY → 交易幣別 HKD，匯率 1.1641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5.36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3.934</v>
      </c>
      <c r="J68" s="29" t="n">
        <v>2.6682</v>
      </c>
      <c r="K68" s="29" t="n">
        <v>79.6524</v>
      </c>
      <c r="L68" s="30" t="n">
        <v>36.2</v>
      </c>
      <c r="M68" s="30" t="n">
        <v>25</v>
      </c>
      <c r="N68" s="29" t="n">
        <v>2.9505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2026-09-16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0.17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2026-09-16</t>
        </is>
      </c>
      <c r="AF69" s="28" t="inlineStr">
        <is>
          <t>行情總股本(46,726,894,415)與財報EPS反推(27,175,000,000)差異&gt;25%，已改用反推值 / 缺關鍵科目：capex / 報表幣別 CNY → 交易幣別 HKD，匯率 1.1641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126.455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-99.40000000000001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2026-09-16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160.6</v>
      </c>
      <c r="D2" s="34" t="n">
        <v>92.5639</v>
      </c>
      <c r="E2" s="34" t="n">
        <v>44.8365</v>
      </c>
      <c r="F2" s="34" t="n">
        <v>212.4943</v>
      </c>
      <c r="G2" s="34" t="inlineStr"/>
      <c r="H2" s="34" t="n">
        <v>147.3001</v>
      </c>
      <c r="I2" s="34" t="inlineStr"/>
      <c r="J2" s="34" t="inlineStr"/>
      <c r="K2" s="34" t="n">
        <v>94.62820000000001</v>
      </c>
      <c r="L2" s="34" t="n">
        <v>50.5815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5.36</v>
      </c>
      <c r="D3" s="34" t="n">
        <v>3.934</v>
      </c>
      <c r="E3" s="34" t="inlineStr"/>
      <c r="F3" s="34" t="inlineStr"/>
      <c r="G3" s="34" t="inlineStr"/>
      <c r="H3" s="34" t="n">
        <v>7.7314</v>
      </c>
      <c r="I3" s="34" t="n">
        <v>2.6682</v>
      </c>
      <c r="J3" s="34" t="inlineStr"/>
      <c r="K3" s="34" t="inlineStr"/>
      <c r="L3" s="34" t="n">
        <v>79.6524</v>
      </c>
      <c r="M3" s="34" t="n">
        <v>5.89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0.0589, "淨現金": -63645000000.0}, "damodaran_fcff": {"銷售/資本": 0.8, "g1": 0.0373, "永續g": 0.03, "目標營業利益率": 0.1444, "WACC": 0.0589,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10.22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</v>
      </c>
      <c r="D5" s="34" t="n">
        <v>107.1841</v>
      </c>
      <c r="E5" s="34" t="n">
        <v>58.438</v>
      </c>
      <c r="F5" s="34" t="n">
        <v>147.7494</v>
      </c>
      <c r="G5" s="34" t="n">
        <v>2.5941</v>
      </c>
      <c r="H5" s="34" t="n">
        <v>163.0545</v>
      </c>
      <c r="I5" s="34" t="n">
        <v>69.0992</v>
      </c>
      <c r="J5" s="34" t="n">
        <v>88.26609999999999</v>
      </c>
      <c r="K5" s="34" t="n">
        <v>136.1654</v>
      </c>
      <c r="L5" s="34" t="n">
        <v>111.3681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27.9003}, "graham_formula": {"g(上限10%)": 0.081, "Y公司債": 0.04}, "ncav": {"NCAV/股": 2.5941, "NNWC/股": -33.0932, "net-net買點": 1.7303},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38.23</v>
      </c>
      <c r="D6" s="34" t="n">
        <v>142.5472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62.4086</v>
      </c>
      <c r="J6" s="34" t="n">
        <v>48.7482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28.69</v>
      </c>
      <c r="D7" s="34" t="n">
        <v>23.0627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10.12</v>
      </c>
      <c r="J7" s="34" t="n">
        <v>8.277900000000001</v>
      </c>
      <c r="K7" s="34" t="n">
        <v>8.570600000000001</v>
      </c>
      <c r="L7" s="34" t="n">
        <v>13.1089</v>
      </c>
      <c r="M7" s="34" t="n">
        <v>8.289999999999999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0.0829, "淨現金": -906634291.0}, "damodaran_fcff": {"銷售/資本": 1.113, "g1": 0.1305, "永續g": 0.021, "目標營業利益率": 0.0665, "WACC": 0.0829,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1.25</v>
      </c>
      <c r="D8" s="34" t="n">
        <v>3.8031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2.3871</v>
      </c>
      <c r="J8" s="34" t="n">
        <v>2.2079</v>
      </c>
      <c r="K8" s="34" t="n">
        <v>1.2252</v>
      </c>
      <c r="L8" s="34" t="n">
        <v>2.9007</v>
      </c>
      <c r="M8" s="34" t="n">
        <v>8.6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0.086, "淨現金": 2074648000.0}, "damodaran_fcff": {"銷售/資本": 2.507, "g1": 0.0038, "永續g": 0.03, "目標營業利益率": 0.0458, "WACC": 0.086,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</v>
      </c>
      <c r="D9" s="34" t="n">
        <v>41.1148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21.87</v>
      </c>
      <c r="J9" s="34" t="inlineStr"/>
      <c r="K9" s="34" t="n">
        <v>11.3883</v>
      </c>
      <c r="L9" s="34" t="n">
        <v>144.2784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4.58</v>
      </c>
      <c r="D10" s="34" t="n">
        <v>9.313599999999999</v>
      </c>
      <c r="E10" s="34" t="n">
        <v>9.2593</v>
      </c>
      <c r="F10" s="34" t="n">
        <v>3.141</v>
      </c>
      <c r="G10" s="34" t="inlineStr"/>
      <c r="H10" s="34" t="n">
        <v>24.366</v>
      </c>
      <c r="I10" s="34" t="n">
        <v>6.2038</v>
      </c>
      <c r="J10" s="34" t="n">
        <v>1.285</v>
      </c>
      <c r="K10" s="34" t="n">
        <v>6.2714</v>
      </c>
      <c r="L10" s="34" t="n">
        <v>3.5349</v>
      </c>
      <c r="M10" s="34" t="n">
        <v>6.36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6.9599}, "graham_formula": {"g(上限10%)": -0.0059, "Y公司債": 0.056}, "ncav": {"NCAV/股": 0.0, "NNWC/股": -6.8152, "net-net買點": 0.0}, "buffett_oe": {"業主盈餘(TTM,中位3年)": 161475000000.0, "g1": -0.0073, "永續g": 0.03, "門檻報酬r": 0.0905, "非營運投資(折70%)": 180806500000.0}, "epv": {"常態營業利益率": 0.0234, "常態NOPAT": 52553004985.0, "WACC": 0.0636, "淨現金": -363061000000.0}, "damodaran_fcff": {"銷售/資本": 2.289, "g1": -0.05, "永續g": 0.03, "目標營業利益率": 0.0234, "WACC": 0.0636, "終值WACC": 0.0995, "有效稅率": 0.1864, "終值佔比": 0.426}, "ri_pb": {"常態ROE": 0.0716, "股權成本r": 0.0899, "留存成長g": 0.0089, "合理PB": 0.774}, "ddm": {"DPS": 0.2558,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393.6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434.2</v>
      </c>
      <c r="D12" s="34" t="n">
        <v>660.375</v>
      </c>
      <c r="E12" s="34" t="n">
        <v>282.3672</v>
      </c>
      <c r="F12" s="34" t="n">
        <v>469.194</v>
      </c>
      <c r="G12" s="34" t="inlineStr"/>
      <c r="H12" s="34" t="n">
        <v>685.5881000000001</v>
      </c>
      <c r="I12" s="34" t="n">
        <v>369.4815</v>
      </c>
      <c r="J12" s="34" t="n">
        <v>459.7468</v>
      </c>
      <c r="K12" s="34" t="n">
        <v>3854.4057</v>
      </c>
      <c r="L12" s="34" t="n">
        <v>610.2885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124.8865}, "graham_formula": {"g(上限10%)": 0.08, "Y公司債": 0.056}, "ncav": {"NCAV/股": 0.0, "NNWC/股": -47.9303,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5.78</v>
      </c>
      <c r="D13" s="34" t="n">
        <v>11.4444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11.4973</v>
      </c>
      <c r="J13" s="34" t="n">
        <v>8.3788</v>
      </c>
      <c r="K13" s="34" t="n">
        <v>5.9237</v>
      </c>
      <c r="L13" s="34" t="n">
        <v>6.23</v>
      </c>
      <c r="M13" s="34" t="n">
        <v>7.49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0.0749, "淨現金": 30851000000.0}, "damodaran_fcff": {"銷售/資本": 1.149, "g1": 0.0339, "永續g": 0.03, "目標營業利益率": 0.0496, "WACC": 0.0749,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8.984999999999999</v>
      </c>
      <c r="D14" s="34" t="n">
        <v>11.5478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5.7784</v>
      </c>
      <c r="J14" s="34" t="n">
        <v>2.1409</v>
      </c>
      <c r="K14" s="34" t="n">
        <v>4.1428</v>
      </c>
      <c r="L14" s="34" t="n">
        <v>8.955399999999999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9.994999999999999</v>
      </c>
      <c r="D16" s="34" t="n">
        <v>22.9934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14.8151</v>
      </c>
      <c r="J16" s="34" t="n">
        <v>9.9642</v>
      </c>
      <c r="K16" s="34" t="n">
        <v>5.2489</v>
      </c>
      <c r="L16" s="34" t="n">
        <v>15.5519</v>
      </c>
      <c r="M16" s="34" t="n">
        <v>7.81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0.0781, "淨現金": -114814000000.0}, "damodaran_fcff": {"銷售/資本": 1.678, "g1": -0.0401, "永續g": 0.03, "目標營業利益率": 0.0765, "WACC": 0.0781,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24.76</v>
      </c>
      <c r="D17" s="34" t="n">
        <v>71.7338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41.7297</v>
      </c>
      <c r="J17" s="34" t="n">
        <v>41.3348</v>
      </c>
      <c r="K17" s="34" t="n">
        <v>64.7799</v>
      </c>
      <c r="L17" s="34" t="n">
        <v>161.2592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9.625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79.25</v>
      </c>
      <c r="D19" s="34" t="n">
        <v>89.608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87.05110000000001</v>
      </c>
      <c r="J19" s="34" t="n">
        <v>77.8373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5.27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61.35</v>
      </c>
      <c r="D21" s="34" t="n">
        <v>6.917</v>
      </c>
      <c r="E21" s="34" t="n">
        <v>19.1265</v>
      </c>
      <c r="F21" s="34" t="n">
        <v>4.7139</v>
      </c>
      <c r="G21" s="34" t="inlineStr"/>
      <c r="H21" s="34" t="inlineStr"/>
      <c r="I21" s="34" t="n">
        <v>10.4125</v>
      </c>
      <c r="J21" s="34" t="n">
        <v>0.4888</v>
      </c>
      <c r="K21" s="34" t="n">
        <v>3.7772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31.94</v>
      </c>
      <c r="D22" s="34" t="n">
        <v>31.6387</v>
      </c>
      <c r="E22" s="34" t="n">
        <v>9.532</v>
      </c>
      <c r="F22" s="34" t="n">
        <v>19.8445</v>
      </c>
      <c r="G22" s="34" t="inlineStr"/>
      <c r="H22" s="34" t="n">
        <v>74.4907</v>
      </c>
      <c r="I22" s="34" t="n">
        <v>16.8789</v>
      </c>
      <c r="J22" s="34" t="n">
        <v>19.357</v>
      </c>
      <c r="K22" s="34" t="n">
        <v>11.4681</v>
      </c>
      <c r="L22" s="34" t="n">
        <v>31.9125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7.505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26.04</v>
      </c>
      <c r="D24" s="34" t="n">
        <v>28.765</v>
      </c>
      <c r="E24" s="34" t="n">
        <v>17.415</v>
      </c>
      <c r="F24" s="34" t="n">
        <v>24.7646</v>
      </c>
      <c r="G24" s="34" t="n">
        <v>1.4259</v>
      </c>
      <c r="H24" s="34" t="n">
        <v>32.0308</v>
      </c>
      <c r="I24" s="34" t="n">
        <v>21.3535</v>
      </c>
      <c r="J24" s="34" t="n">
        <v>26.4515</v>
      </c>
      <c r="K24" s="34" t="n">
        <v>94.2072</v>
      </c>
      <c r="L24" s="34" t="n">
        <v>18.8996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53.05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196.8</v>
      </c>
      <c r="D28" s="34" t="n">
        <v>103.1534</v>
      </c>
      <c r="E28" s="34" t="n">
        <v>55.423</v>
      </c>
      <c r="F28" s="34" t="n">
        <v>94.8874</v>
      </c>
      <c r="G28" s="34" t="n">
        <v>15.7617</v>
      </c>
      <c r="H28" s="34" t="n">
        <v>111.9667</v>
      </c>
      <c r="I28" s="34" t="n">
        <v>66.4631</v>
      </c>
      <c r="J28" s="34" t="n">
        <v>79.1686</v>
      </c>
      <c r="K28" s="34" t="n">
        <v>469.0262</v>
      </c>
      <c r="L28" s="34" t="n">
        <v>242.0611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27.6758}, "graham_formula": {"g(上限10%)": 0.1, "Y公司債": 0.056}, "ncav": {"NCAV/股": 13.5396, "NNWC/股": 9.3462, "net-net買點": 9.0309},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1.9085,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4" t="n">
        <v>13.2428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7.7541</v>
      </c>
      <c r="J29" s="34" t="n">
        <v>11.2318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50.4</v>
      </c>
      <c r="D30" s="34" t="n">
        <v>84.1023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113.8003</v>
      </c>
      <c r="J30" s="34" t="n">
        <v>84.3797</v>
      </c>
      <c r="K30" s="34" t="n">
        <v>165.9242</v>
      </c>
      <c r="L30" s="34" t="n">
        <v>106.0289</v>
      </c>
      <c r="M30" s="34" t="n">
        <v>7.13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0.0713, "淨現金": -10879000000.0}, "damodaran_fcff": {"銷售/資本": 1.92, "g1": 0.0056, "永續g": 0.03, "目標營業利益率": 0.0881, "WACC": 0.0713,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73.90000000000001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12.14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492.2</v>
      </c>
      <c r="D32" s="34" t="n">
        <v>382.8678</v>
      </c>
      <c r="E32" s="34" t="n">
        <v>170.1471</v>
      </c>
      <c r="F32" s="34" t="n">
        <v>153.5815</v>
      </c>
      <c r="G32" s="34" t="n">
        <v>8.542899999999999</v>
      </c>
      <c r="H32" s="34" t="n">
        <v>309.2126</v>
      </c>
      <c r="I32" s="34" t="n">
        <v>215.3843</v>
      </c>
      <c r="J32" s="34" t="n">
        <v>266.6822</v>
      </c>
      <c r="K32" s="34" t="n">
        <v>2201.7699</v>
      </c>
      <c r="L32" s="34" t="n">
        <v>1178.879</v>
      </c>
      <c r="M32" s="34" t="n">
        <v>9.220000000000001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81.9903}, "graham_formula": {"g(上限10%)": 0.03, "Y公司債": 0.056}, "ncav": {"NCAV/股": 7.3385, "NNWC/股": -39.3806, "net-net買點": 4.8948}, "buffett_oe": {"業主盈餘(TTM,中位3年)": 65810402000.0, "g1": 0.05, "永續g": 0.03, "門檻報酬r": 0.0905, "非營運投資(折70%)": 10748265500.0}, "epv": {"常態營業利益率": 0.1491, "常態NOPAT": 66831915950.0, "WACC": 0.0922, "淨現金": 120569062000.0}, "damodaran_fcff": {"銷售/資本": 2.016, "g1": 0.0884, "永續g": 0.03, "目標營業利益率": 0.1491, "WACC": 0.0922, "終值WACC": 0.0995, "有效稅率": 0.1411, "終值佔比": 0.529}, "ri_pb": {"常態ROE": 0.2098, "股權成本r": 0.0995, "留存成長g": 0.0945, "合理PB": 23.068}, "ddm": {"DPS": 9.2949,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51.25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4.215</v>
      </c>
      <c r="D34" s="34" t="n">
        <v>8.303100000000001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4.4207</v>
      </c>
      <c r="J34" s="34" t="n">
        <v>7.0636</v>
      </c>
      <c r="K34" s="34" t="n">
        <v>3.6595</v>
      </c>
      <c r="L34" s="34" t="n">
        <v>6.6701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21.14</v>
      </c>
      <c r="D35" s="34" t="n">
        <v>12.2115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8.0512</v>
      </c>
      <c r="J35" s="34" t="n">
        <v>6.6237</v>
      </c>
      <c r="K35" s="34" t="n">
        <v>6.5099</v>
      </c>
      <c r="L35" s="34" t="n">
        <v>6.201</v>
      </c>
      <c r="M35" s="34" t="n">
        <v>10.12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0.1012, "淨現金": -3912000000.0}, "damodaran_fcff": {"銷售/資本": 1.24, "g1": 0.15, "永續g": 0.03, "目標營業利益率": 0.0675, "WACC": 0.1012,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105.2</v>
      </c>
      <c r="D36" s="34" t="n">
        <v>136.1718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129.2469</v>
      </c>
      <c r="J36" s="34" t="n">
        <v>98.456</v>
      </c>
      <c r="K36" s="34" t="n">
        <v>54.4545</v>
      </c>
      <c r="L36" s="34" t="n">
        <v>55.116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303.6</v>
      </c>
      <c r="D37" s="34" t="n">
        <v>430.9458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322.4943</v>
      </c>
      <c r="J37" s="34" t="n">
        <v>427.3832</v>
      </c>
      <c r="K37" s="34" t="n">
        <v>40.2781</v>
      </c>
      <c r="L37" s="34" t="n">
        <v>252.0972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106.6</v>
      </c>
      <c r="D38" s="34" t="n">
        <v>68.1778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63.9907</v>
      </c>
      <c r="J38" s="34" t="n">
        <v>61.5721</v>
      </c>
      <c r="K38" s="34" t="n">
        <v>58.5967</v>
      </c>
      <c r="L38" s="34" t="n">
        <v>33.7265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183.8</v>
      </c>
      <c r="D39" s="34" t="n">
        <v>300.141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153.3892</v>
      </c>
      <c r="J39" s="34" t="n">
        <v>184.6558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83.75</v>
      </c>
      <c r="D40" s="34" t="n">
        <v>126.3758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67.5508</v>
      </c>
      <c r="J40" s="34" t="n">
        <v>108.1147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158.92</v>
      </c>
      <c r="D41" s="34" t="n">
        <v>200.3016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116.6312</v>
      </c>
      <c r="J41" s="34" t="n">
        <v>134.5588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43.22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22.6238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116.82</v>
      </c>
      <c r="D43" s="34" t="n">
        <v>50.5532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46.625</v>
      </c>
      <c r="J43" s="34" t="n">
        <v>50.2379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1264.75</v>
      </c>
      <c r="D44" s="34" t="n">
        <v>1186.8348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838.7854</v>
      </c>
      <c r="J44" s="34" t="n">
        <v>1283.6283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28.36</v>
      </c>
      <c r="D45" s="34" t="n">
        <v>20.5689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15.6067</v>
      </c>
      <c r="J45" s="34" t="n">
        <v>12.7745</v>
      </c>
      <c r="K45" s="34" t="n">
        <v>22.7622</v>
      </c>
      <c r="L45" s="34" t="n">
        <v>25.8636</v>
      </c>
      <c r="M45" s="34" t="n">
        <v>5.63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60.94</v>
      </c>
      <c r="D46" s="34" t="n">
        <v>35.7648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25.5798</v>
      </c>
      <c r="J46" s="34" t="n">
        <v>36.6885</v>
      </c>
      <c r="K46" s="34" t="n">
        <v>164.8877</v>
      </c>
      <c r="L46" s="34" t="n">
        <v>130.8639</v>
      </c>
      <c r="M46" s="34" t="n">
        <v>8.359999999999999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0.0836, "淨現金": -7517740000.0}, "damodaran_fcff": {"銷售/資本": 4.0, "g1": 0.15, "永續g": 0.021, "目標營業利益率": 0.0455, "WACC": 0.0836,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</v>
      </c>
      <c r="D47" s="34" t="n">
        <v>100.9447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56.4713</v>
      </c>
      <c r="J47" s="34" t="n">
        <v>92.616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85.59</v>
      </c>
      <c r="D48" s="34" t="n">
        <v>113.1288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61.0332</v>
      </c>
      <c r="J48" s="34" t="n">
        <v>108.9325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339.53</v>
      </c>
      <c r="D49" s="34" t="n">
        <v>79.0124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72.8562</v>
      </c>
      <c r="J49" s="34" t="n">
        <v>119.6881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279.49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462.6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333.72</v>
      </c>
      <c r="D52" s="34" t="n">
        <v>49.1605</v>
      </c>
      <c r="E52" s="34" t="n">
        <v>9.446</v>
      </c>
      <c r="F52" s="34" t="n">
        <v>34.7808</v>
      </c>
      <c r="G52" s="34" t="inlineStr"/>
      <c r="H52" s="34" t="inlineStr"/>
      <c r="I52" s="34" t="n">
        <v>8.8996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247.96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520.47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7.34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280.01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172.795</v>
      </c>
      <c r="D56" s="34" t="n">
        <v>21.4773</v>
      </c>
      <c r="E56" s="34" t="n">
        <v>3.6112</v>
      </c>
      <c r="F56" s="34" t="n">
        <v>4.7985</v>
      </c>
      <c r="G56" s="34" t="inlineStr"/>
      <c r="H56" s="34" t="inlineStr"/>
      <c r="I56" s="34" t="n">
        <v>5.0402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346.815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267.14</v>
      </c>
      <c r="D58" s="34" t="n">
        <v>480.8071</v>
      </c>
      <c r="E58" s="34" t="n">
        <v>9.3416</v>
      </c>
      <c r="F58" s="34" t="n">
        <v>1.4037</v>
      </c>
      <c r="G58" s="34" t="inlineStr"/>
      <c r="H58" s="34" t="inlineStr"/>
      <c r="I58" s="34" t="n">
        <v>15.4569</v>
      </c>
      <c r="J58" s="34" t="n">
        <v>17.7687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88.34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1143.525</v>
      </c>
      <c r="D60" s="34" t="n">
        <v>544.7394</v>
      </c>
      <c r="E60" s="34" t="n">
        <v>83.318</v>
      </c>
      <c r="F60" s="34" t="n">
        <v>202.834</v>
      </c>
      <c r="G60" s="34" t="inlineStr"/>
      <c r="H60" s="34" t="inlineStr"/>
      <c r="I60" s="34" t="n">
        <v>15.5361</v>
      </c>
      <c r="J60" s="34" t="n">
        <v>58.849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494.77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126.455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9.369999999999999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216.05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6.8365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147.64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34.255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364.31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418.52</v>
      </c>
      <c r="D67" s="34" t="n">
        <v>6265.3212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539.3388</v>
      </c>
      <c r="J67" s="34" t="n">
        <v>905.7919000000001</v>
      </c>
      <c r="K67" s="34" t="n">
        <v>70736.5186</v>
      </c>
      <c r="L67" s="34" t="inlineStr"/>
      <c r="M67" s="34" t="n">
        <v>9.43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0.0943, "淨現金": 3468786165000.0}, "damodaran_fcff": {"銷售/資本": 0.8, "g1": 0.15, "永續g": 0.04, "目標營業利益率": 0.4902, "WACC": 0.0943,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378.87</v>
      </c>
      <c r="D68" s="34" t="n">
        <v>369.4242</v>
      </c>
      <c r="E68" s="34" t="n">
        <v>64.4277</v>
      </c>
      <c r="F68" s="34" t="n">
        <v>314.2098</v>
      </c>
      <c r="G68" s="34" t="inlineStr"/>
      <c r="H68" s="34" t="inlineStr"/>
      <c r="I68" s="34" t="n">
        <v>4.9376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372.25</v>
      </c>
      <c r="D69" s="34" t="n">
        <v>54.2596</v>
      </c>
      <c r="E69" s="34" t="n">
        <v>12.8744</v>
      </c>
      <c r="F69" s="34" t="n">
        <v>61.9902</v>
      </c>
      <c r="G69" s="34" t="inlineStr"/>
      <c r="H69" s="34" t="inlineStr"/>
      <c r="I69" s="34" t="n">
        <v>4.9093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108.39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160.6</v>
      </c>
      <c r="D2" s="22" t="inlineStr">
        <is>
          <t>HKD</t>
        </is>
      </c>
      <c r="E2" s="24" t="n">
        <v>46.2819</v>
      </c>
      <c r="F2" s="24" t="n">
        <v>69.4229</v>
      </c>
      <c r="G2" s="24" t="n">
        <v>106.4485</v>
      </c>
      <c r="H2" s="24" t="n">
        <v>138.8458</v>
      </c>
      <c r="I2" s="24" t="n">
        <v>138.8458</v>
      </c>
      <c r="J2" s="26" t="inlineStr">
        <is>
          <t>非常昂貴</t>
        </is>
      </c>
      <c r="K2" s="24" t="n">
        <v>1.735</v>
      </c>
      <c r="L2" s="24" t="n">
        <v>69.4229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5.36</v>
      </c>
      <c r="D3" s="27" t="inlineStr">
        <is>
          <t>HKD</t>
        </is>
      </c>
      <c r="E3" s="29" t="n">
        <v>1.967</v>
      </c>
      <c r="F3" s="29" t="n">
        <v>2.9505</v>
      </c>
      <c r="G3" s="29" t="n">
        <v>4.5241</v>
      </c>
      <c r="H3" s="29" t="n">
        <v>5.901</v>
      </c>
      <c r="I3" s="29" t="n">
        <v>5.901</v>
      </c>
      <c r="J3" s="31" t="inlineStr">
        <is>
          <t>無法估值</t>
        </is>
      </c>
      <c r="K3" s="29" t="n">
        <v>1.3625</v>
      </c>
      <c r="L3" s="29" t="n">
        <v>2.9505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</v>
      </c>
      <c r="D4" s="22" t="inlineStr">
        <is>
          <t>HKD</t>
        </is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12.4657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86</v>
      </c>
      <c r="D5" s="12" t="inlineStr">
        <is>
          <t>CNY</t>
        </is>
      </c>
      <c r="E5" s="14" t="n">
        <v>53.592</v>
      </c>
      <c r="F5" s="14" t="n">
        <v>80.38809999999999</v>
      </c>
      <c r="G5" s="14" t="n">
        <v>123.2617</v>
      </c>
      <c r="H5" s="14" t="n">
        <v>160.7761</v>
      </c>
      <c r="I5" s="14" t="n">
        <v>160.7761</v>
      </c>
      <c r="J5" s="16" t="inlineStr">
        <is>
          <t>合理</t>
        </is>
      </c>
      <c r="K5" s="14" t="n">
        <v>0.8024</v>
      </c>
      <c r="L5" s="14" t="n">
        <v>80.38809999999999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38.23</v>
      </c>
      <c r="D6" s="2" t="inlineStr">
        <is>
          <t>CNY</t>
        </is>
      </c>
      <c r="E6" s="4" t="n">
        <v>71.2736</v>
      </c>
      <c r="F6" s="4" t="n">
        <v>106.9104</v>
      </c>
      <c r="G6" s="4" t="n">
        <v>163.9292</v>
      </c>
      <c r="H6" s="4" t="n">
        <v>213.8207</v>
      </c>
      <c r="I6" s="4" t="n">
        <v>213.8207</v>
      </c>
      <c r="J6" s="6" t="inlineStr">
        <is>
          <t>非常便宜</t>
        </is>
      </c>
      <c r="K6" s="4" t="n">
        <v>0.2682</v>
      </c>
      <c r="L6" s="4" t="n">
        <v>106.9104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28.69</v>
      </c>
      <c r="D7" s="17" t="inlineStr">
        <is>
          <t>CNY</t>
        </is>
      </c>
      <c r="E7" s="19" t="n">
        <v>11.5314</v>
      </c>
      <c r="F7" s="19" t="n">
        <v>17.297</v>
      </c>
      <c r="G7" s="19" t="n">
        <v>26.5221</v>
      </c>
      <c r="H7" s="19" t="n">
        <v>34.5941</v>
      </c>
      <c r="I7" s="19" t="n">
        <v>34.5941</v>
      </c>
      <c r="J7" s="21" t="inlineStr">
        <is>
          <t>昂貴</t>
        </is>
      </c>
      <c r="K7" s="19" t="n">
        <v>1.244</v>
      </c>
      <c r="L7" s="19" t="n">
        <v>17.297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1.25</v>
      </c>
      <c r="D8" s="2" t="inlineStr">
        <is>
          <t>HKD</t>
        </is>
      </c>
      <c r="E8" s="4" t="n">
        <v>1.9015</v>
      </c>
      <c r="F8" s="4" t="n">
        <v>2.8523</v>
      </c>
      <c r="G8" s="4" t="n">
        <v>4.3735</v>
      </c>
      <c r="H8" s="4" t="n">
        <v>5.7046</v>
      </c>
      <c r="I8" s="4" t="n">
        <v>5.7046</v>
      </c>
      <c r="J8" s="6" t="inlineStr">
        <is>
          <t>非常便宜</t>
        </is>
      </c>
      <c r="K8" s="4" t="n">
        <v>0.3287</v>
      </c>
      <c r="L8" s="4" t="n">
        <v>2.8523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</v>
      </c>
      <c r="D9" s="12" t="inlineStr">
        <is>
          <t>HKD</t>
        </is>
      </c>
      <c r="E9" s="14" t="n">
        <v>20.5574</v>
      </c>
      <c r="F9" s="14" t="n">
        <v>30.8361</v>
      </c>
      <c r="G9" s="14" t="n">
        <v>47.282</v>
      </c>
      <c r="H9" s="14" t="n">
        <v>61.6722</v>
      </c>
      <c r="I9" s="14" t="n">
        <v>61.6722</v>
      </c>
      <c r="J9" s="16" t="inlineStr">
        <is>
          <t>合理</t>
        </is>
      </c>
      <c r="K9" s="14" t="n">
        <v>0.7978</v>
      </c>
      <c r="L9" s="14" t="n">
        <v>26.7246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4.58</v>
      </c>
      <c r="D10" s="2" t="inlineStr">
        <is>
          <t>HKD</t>
        </is>
      </c>
      <c r="E10" s="4" t="n">
        <v>4.6568</v>
      </c>
      <c r="F10" s="4" t="n">
        <v>6.9852</v>
      </c>
      <c r="G10" s="4" t="n">
        <v>10.7106</v>
      </c>
      <c r="H10" s="4" t="n">
        <v>13.9704</v>
      </c>
      <c r="I10" s="4" t="n">
        <v>13.9704</v>
      </c>
      <c r="J10" s="6" t="inlineStr">
        <is>
          <t>非常便宜</t>
        </is>
      </c>
      <c r="K10" s="4" t="n">
        <v>0.4918</v>
      </c>
      <c r="L10" s="4" t="n">
        <v>6.9852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393.6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2.5115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434.2</v>
      </c>
      <c r="D12" s="7" t="inlineStr">
        <is>
          <t>HKD</t>
        </is>
      </c>
      <c r="E12" s="9" t="n">
        <v>330.1875</v>
      </c>
      <c r="F12" s="9" t="n">
        <v>495.2813</v>
      </c>
      <c r="G12" s="9" t="n">
        <v>759.4313</v>
      </c>
      <c r="H12" s="9" t="n">
        <v>990.5625</v>
      </c>
      <c r="I12" s="9" t="n">
        <v>990.5625</v>
      </c>
      <c r="J12" s="11" t="inlineStr">
        <is>
          <t>便宜</t>
        </is>
      </c>
      <c r="K12" s="9" t="n">
        <v>0.6575</v>
      </c>
      <c r="L12" s="9" t="n">
        <v>495.2813</v>
      </c>
    </row>
    <row r="13">
      <c r="A13" s="7" t="inlineStr">
        <is>
          <t>00762</t>
        </is>
      </c>
      <c r="B13" s="8" t="inlineStr">
        <is>
          <t>中国联通</t>
        </is>
      </c>
      <c r="C13" s="9" t="n">
        <v>5.78</v>
      </c>
      <c r="D13" s="7" t="inlineStr">
        <is>
          <t>HKD</t>
        </is>
      </c>
      <c r="E13" s="9" t="n">
        <v>5.7222</v>
      </c>
      <c r="F13" s="9" t="n">
        <v>8.583299999999999</v>
      </c>
      <c r="G13" s="9" t="n">
        <v>13.161</v>
      </c>
      <c r="H13" s="9" t="n">
        <v>17.1666</v>
      </c>
      <c r="I13" s="9" t="n">
        <v>17.1666</v>
      </c>
      <c r="J13" s="11" t="inlineStr">
        <is>
          <t>便宜</t>
        </is>
      </c>
      <c r="K13" s="9" t="n">
        <v>0.5051</v>
      </c>
      <c r="L13" s="9" t="n">
        <v>8.583299999999999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8.984999999999999</v>
      </c>
      <c r="D14" s="12" t="inlineStr">
        <is>
          <t>HKD</t>
        </is>
      </c>
      <c r="E14" s="14" t="n">
        <v>5.7739</v>
      </c>
      <c r="F14" s="14" t="n">
        <v>8.6608</v>
      </c>
      <c r="G14" s="14" t="n">
        <v>13.2799</v>
      </c>
      <c r="H14" s="14" t="n">
        <v>17.3217</v>
      </c>
      <c r="I14" s="14" t="n">
        <v>17.3217</v>
      </c>
      <c r="J14" s="16" t="inlineStr">
        <is>
          <t>合理</t>
        </is>
      </c>
      <c r="K14" s="14" t="n">
        <v>0.7781</v>
      </c>
      <c r="L14" s="14" t="n">
        <v>8.6608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18.78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0.3516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9.994999999999999</v>
      </c>
      <c r="D16" s="2" t="inlineStr">
        <is>
          <t>HKD</t>
        </is>
      </c>
      <c r="E16" s="4" t="n">
        <v>11.4967</v>
      </c>
      <c r="F16" s="4" t="n">
        <v>17.2451</v>
      </c>
      <c r="G16" s="4" t="n">
        <v>26.4424</v>
      </c>
      <c r="H16" s="4" t="n">
        <v>34.4901</v>
      </c>
      <c r="I16" s="4" t="n">
        <v>34.4901</v>
      </c>
      <c r="J16" s="6" t="inlineStr">
        <is>
          <t>非常便宜</t>
        </is>
      </c>
      <c r="K16" s="4" t="n">
        <v>0.4347</v>
      </c>
      <c r="L16" s="4" t="n">
        <v>17.2451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24.76</v>
      </c>
      <c r="D17" s="2" t="inlineStr">
        <is>
          <t>HKD</t>
        </is>
      </c>
      <c r="E17" s="4" t="n">
        <v>35.8669</v>
      </c>
      <c r="F17" s="4" t="n">
        <v>53.8004</v>
      </c>
      <c r="G17" s="4" t="n">
        <v>82.4939</v>
      </c>
      <c r="H17" s="4" t="n">
        <v>107.6007</v>
      </c>
      <c r="I17" s="4" t="n">
        <v>107.6007</v>
      </c>
      <c r="J17" s="6" t="inlineStr">
        <is>
          <t>非常便宜</t>
        </is>
      </c>
      <c r="K17" s="4" t="n">
        <v>0.3452</v>
      </c>
      <c r="L17" s="4" t="n">
        <v>53.8004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9.625</v>
      </c>
      <c r="D18" s="2" t="inlineStr">
        <is>
          <t>HKD</t>
        </is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0.0736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79.25</v>
      </c>
      <c r="D19" s="12" t="inlineStr">
        <is>
          <t>HKD</t>
        </is>
      </c>
      <c r="E19" s="14" t="n">
        <v>44.804</v>
      </c>
      <c r="F19" s="14" t="n">
        <v>67.206</v>
      </c>
      <c r="G19" s="14" t="n">
        <v>103.0492</v>
      </c>
      <c r="H19" s="14" t="n">
        <v>134.4121</v>
      </c>
      <c r="I19" s="14" t="n">
        <v>134.4121</v>
      </c>
      <c r="J19" s="16" t="inlineStr">
        <is>
          <t>合理</t>
        </is>
      </c>
      <c r="K19" s="14" t="n">
        <v>0.8844</v>
      </c>
      <c r="L19" s="14" t="n">
        <v>67.206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5.27</v>
      </c>
      <c r="D20" s="27" t="inlineStr">
        <is>
          <t>HKD</t>
        </is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0.0333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61.35</v>
      </c>
      <c r="D21" s="22" t="inlineStr">
        <is>
          <t>HKD</t>
        </is>
      </c>
      <c r="E21" s="24" t="n">
        <v>3.4585</v>
      </c>
      <c r="F21" s="24" t="n">
        <v>5.1877</v>
      </c>
      <c r="G21" s="24" t="n">
        <v>7.9545</v>
      </c>
      <c r="H21" s="24" t="n">
        <v>10.3755</v>
      </c>
      <c r="I21" s="24" t="n">
        <v>10.3755</v>
      </c>
      <c r="J21" s="26" t="inlineStr">
        <is>
          <t>非常昂貴</t>
        </is>
      </c>
      <c r="K21" s="24" t="n">
        <v>8.8695</v>
      </c>
      <c r="L21" s="24" t="n">
        <v>5.1877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31.94</v>
      </c>
      <c r="D22" s="12" t="inlineStr">
        <is>
          <t>HKD</t>
        </is>
      </c>
      <c r="E22" s="14" t="n">
        <v>15.8193</v>
      </c>
      <c r="F22" s="14" t="n">
        <v>23.729</v>
      </c>
      <c r="G22" s="14" t="n">
        <v>36.3845</v>
      </c>
      <c r="H22" s="14" t="n">
        <v>47.458</v>
      </c>
      <c r="I22" s="14" t="n">
        <v>47.458</v>
      </c>
      <c r="J22" s="16" t="inlineStr">
        <is>
          <t>合理</t>
        </is>
      </c>
      <c r="K22" s="14" t="n">
        <v>1.0095</v>
      </c>
      <c r="L22" s="14" t="n">
        <v>23.729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7.505</v>
      </c>
      <c r="D23" s="2" t="inlineStr">
        <is>
          <t>HKD</t>
        </is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0.0762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26.04</v>
      </c>
      <c r="D24" s="12" t="inlineStr">
        <is>
          <t>HKD</t>
        </is>
      </c>
      <c r="E24" s="14" t="n">
        <v>14.3825</v>
      </c>
      <c r="F24" s="14" t="n">
        <v>21.5738</v>
      </c>
      <c r="G24" s="14" t="n">
        <v>33.0798</v>
      </c>
      <c r="H24" s="14" t="n">
        <v>43.1475</v>
      </c>
      <c r="I24" s="14" t="n">
        <v>43.1475</v>
      </c>
      <c r="J24" s="16" t="inlineStr">
        <is>
          <t>合理</t>
        </is>
      </c>
      <c r="K24" s="14" t="n">
        <v>0.9053</v>
      </c>
      <c r="L24" s="14" t="n">
        <v>21.5738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1.3129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53.05</v>
      </c>
      <c r="D27" s="2" t="inlineStr">
        <is>
          <t>HKD</t>
        </is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0.07580000000000001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196.8</v>
      </c>
      <c r="D28" s="22" t="inlineStr">
        <is>
          <t>HKD</t>
        </is>
      </c>
      <c r="E28" s="24" t="n">
        <v>51.5767</v>
      </c>
      <c r="F28" s="24" t="n">
        <v>77.36499999999999</v>
      </c>
      <c r="G28" s="24" t="n">
        <v>118.6264</v>
      </c>
      <c r="H28" s="24" t="n">
        <v>154.7301</v>
      </c>
      <c r="I28" s="24" t="n">
        <v>154.7301</v>
      </c>
      <c r="J28" s="26" t="inlineStr">
        <is>
          <t>非常昂貴</t>
        </is>
      </c>
      <c r="K28" s="24" t="n">
        <v>1.9078</v>
      </c>
      <c r="L28" s="24" t="n">
        <v>77.36499999999999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inlineStr">
        <is>
          <t>HKD</t>
        </is>
      </c>
      <c r="E29" s="4" t="n">
        <v>6.6214</v>
      </c>
      <c r="F29" s="4" t="n">
        <v>9.9321</v>
      </c>
      <c r="G29" s="4" t="n">
        <v>15.2292</v>
      </c>
      <c r="H29" s="4" t="n">
        <v>19.8642</v>
      </c>
      <c r="I29" s="4" t="n">
        <v>19.8642</v>
      </c>
      <c r="J29" s="6" t="inlineStr">
        <is>
          <t>非常便宜</t>
        </is>
      </c>
      <c r="K29" s="4" t="n">
        <v>0.2511</v>
      </c>
      <c r="L29" s="4" t="n">
        <v>9.9321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50.4</v>
      </c>
      <c r="D30" s="7" t="inlineStr">
        <is>
          <t>HKD</t>
        </is>
      </c>
      <c r="E30" s="9" t="n">
        <v>42.0511</v>
      </c>
      <c r="F30" s="9" t="n">
        <v>63.0767</v>
      </c>
      <c r="G30" s="9" t="n">
        <v>96.7176</v>
      </c>
      <c r="H30" s="9" t="n">
        <v>126.1534</v>
      </c>
      <c r="I30" s="9" t="n">
        <v>126.1534</v>
      </c>
      <c r="J30" s="11" t="inlineStr">
        <is>
          <t>便宜</t>
        </is>
      </c>
      <c r="K30" s="9" t="n">
        <v>0.5993000000000001</v>
      </c>
      <c r="L30" s="9" t="n">
        <v>63.0767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73.90000000000001</v>
      </c>
      <c r="D31" s="22" t="inlineStr">
        <is>
          <t>HKD</t>
        </is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5.2931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492.2</v>
      </c>
      <c r="D32" s="17" t="inlineStr">
        <is>
          <t>HKD</t>
        </is>
      </c>
      <c r="E32" s="19" t="n">
        <v>191.4339</v>
      </c>
      <c r="F32" s="19" t="n">
        <v>287.1508</v>
      </c>
      <c r="G32" s="19" t="n">
        <v>440.2979</v>
      </c>
      <c r="H32" s="19" t="n">
        <v>574.3017</v>
      </c>
      <c r="I32" s="19" t="n">
        <v>574.3017</v>
      </c>
      <c r="J32" s="21" t="inlineStr">
        <is>
          <t>昂貴</t>
        </is>
      </c>
      <c r="K32" s="19" t="n">
        <v>1.2856</v>
      </c>
      <c r="L32" s="19" t="n">
        <v>287.1508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51.25</v>
      </c>
      <c r="D33" s="2" t="inlineStr">
        <is>
          <t>HKD</t>
        </is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0.0871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4.215</v>
      </c>
      <c r="D34" s="7" t="inlineStr">
        <is>
          <t>HKD</t>
        </is>
      </c>
      <c r="E34" s="9" t="n">
        <v>4.1516</v>
      </c>
      <c r="F34" s="9" t="n">
        <v>6.2274</v>
      </c>
      <c r="G34" s="9" t="n">
        <v>9.5486</v>
      </c>
      <c r="H34" s="9" t="n">
        <v>12.4547</v>
      </c>
      <c r="I34" s="9" t="n">
        <v>12.4547</v>
      </c>
      <c r="J34" s="11" t="inlineStr">
        <is>
          <t>便宜</t>
        </is>
      </c>
      <c r="K34" s="9" t="n">
        <v>0.5076000000000001</v>
      </c>
      <c r="L34" s="9" t="n">
        <v>6.2274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21.14</v>
      </c>
      <c r="D35" s="22" t="inlineStr">
        <is>
          <t>HKD</t>
        </is>
      </c>
      <c r="E35" s="24" t="n">
        <v>6.1058</v>
      </c>
      <c r="F35" s="24" t="n">
        <v>9.1586</v>
      </c>
      <c r="G35" s="24" t="n">
        <v>14.0432</v>
      </c>
      <c r="H35" s="24" t="n">
        <v>18.3173</v>
      </c>
      <c r="I35" s="24" t="n">
        <v>18.3173</v>
      </c>
      <c r="J35" s="26" t="inlineStr">
        <is>
          <t>非常昂貴</t>
        </is>
      </c>
      <c r="K35" s="24" t="n">
        <v>1.7312</v>
      </c>
      <c r="L35" s="24" t="n">
        <v>9.1586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105.2</v>
      </c>
      <c r="D36" s="12" t="inlineStr">
        <is>
          <t>HKD</t>
        </is>
      </c>
      <c r="E36" s="14" t="n">
        <v>68.0859</v>
      </c>
      <c r="F36" s="14" t="n">
        <v>102.1288</v>
      </c>
      <c r="G36" s="14" t="n">
        <v>156.5976</v>
      </c>
      <c r="H36" s="14" t="n">
        <v>204.2577</v>
      </c>
      <c r="I36" s="14" t="n">
        <v>204.2577</v>
      </c>
      <c r="J36" s="16" t="inlineStr">
        <is>
          <t>合理</t>
        </is>
      </c>
      <c r="K36" s="14" t="n">
        <v>0.7726</v>
      </c>
      <c r="L36" s="14" t="n">
        <v>102.1288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303.6</v>
      </c>
      <c r="D37" s="7" t="inlineStr">
        <is>
          <t>HKD</t>
        </is>
      </c>
      <c r="E37" s="9" t="n">
        <v>215.4729</v>
      </c>
      <c r="F37" s="9" t="n">
        <v>323.2093</v>
      </c>
      <c r="G37" s="9" t="n">
        <v>495.5877</v>
      </c>
      <c r="H37" s="9" t="n">
        <v>646.4186999999999</v>
      </c>
      <c r="I37" s="9" t="n">
        <v>646.4186999999999</v>
      </c>
      <c r="J37" s="11" t="inlineStr">
        <is>
          <t>便宜</t>
        </is>
      </c>
      <c r="K37" s="9" t="n">
        <v>0.7045</v>
      </c>
      <c r="L37" s="9" t="n">
        <v>323.2093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106.6</v>
      </c>
      <c r="D38" s="22" t="inlineStr">
        <is>
          <t>HKD</t>
        </is>
      </c>
      <c r="E38" s="24" t="n">
        <v>34.0889</v>
      </c>
      <c r="F38" s="24" t="n">
        <v>51.1333</v>
      </c>
      <c r="G38" s="24" t="n">
        <v>78.4045</v>
      </c>
      <c r="H38" s="24" t="n">
        <v>102.2667</v>
      </c>
      <c r="I38" s="24" t="n">
        <v>102.2667</v>
      </c>
      <c r="J38" s="26" t="inlineStr">
        <is>
          <t>非常昂貴</t>
        </is>
      </c>
      <c r="K38" s="24" t="n">
        <v>1.5636</v>
      </c>
      <c r="L38" s="24" t="n">
        <v>51.1333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183.8</v>
      </c>
      <c r="D39" s="7" t="inlineStr">
        <is>
          <t>HKD</t>
        </is>
      </c>
      <c r="E39" s="9" t="n">
        <v>150.0705</v>
      </c>
      <c r="F39" s="9" t="n">
        <v>225.1058</v>
      </c>
      <c r="G39" s="9" t="n">
        <v>345.1622</v>
      </c>
      <c r="H39" s="9" t="n">
        <v>450.2116</v>
      </c>
      <c r="I39" s="9" t="n">
        <v>450.2116</v>
      </c>
      <c r="J39" s="11" t="inlineStr">
        <is>
          <t>便宜</t>
        </is>
      </c>
      <c r="K39" s="9" t="n">
        <v>0.6124000000000001</v>
      </c>
      <c r="L39" s="9" t="n">
        <v>225.1058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83.75</v>
      </c>
      <c r="D40" s="7" t="inlineStr">
        <is>
          <t>CNY</t>
        </is>
      </c>
      <c r="E40" s="9" t="n">
        <v>63.1879</v>
      </c>
      <c r="F40" s="9" t="n">
        <v>94.7818</v>
      </c>
      <c r="G40" s="9" t="n">
        <v>145.3321</v>
      </c>
      <c r="H40" s="9" t="n">
        <v>189.5637</v>
      </c>
      <c r="I40" s="9" t="n">
        <v>189.5637</v>
      </c>
      <c r="J40" s="11" t="inlineStr">
        <is>
          <t>便宜</t>
        </is>
      </c>
      <c r="K40" s="9" t="n">
        <v>0.6627</v>
      </c>
      <c r="L40" s="9" t="n">
        <v>94.7818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158.92</v>
      </c>
      <c r="D41" s="12" t="inlineStr">
        <is>
          <t>CNY</t>
        </is>
      </c>
      <c r="E41" s="14" t="n">
        <v>100.1508</v>
      </c>
      <c r="F41" s="14" t="n">
        <v>150.2262</v>
      </c>
      <c r="G41" s="14" t="n">
        <v>230.3468</v>
      </c>
      <c r="H41" s="14" t="n">
        <v>300.4524</v>
      </c>
      <c r="I41" s="14" t="n">
        <v>300.4524</v>
      </c>
      <c r="J41" s="16" t="inlineStr">
        <is>
          <t>合理</t>
        </is>
      </c>
      <c r="K41" s="14" t="n">
        <v>0.7934</v>
      </c>
      <c r="L41" s="14" t="n">
        <v>150.2262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43.22</v>
      </c>
      <c r="D42" s="22" t="inlineStr">
        <is>
          <t>CNY</t>
        </is>
      </c>
      <c r="E42" s="24" t="n">
        <v>14.2391</v>
      </c>
      <c r="F42" s="24" t="n">
        <v>21.3586</v>
      </c>
      <c r="G42" s="24" t="n">
        <v>32.7498</v>
      </c>
      <c r="H42" s="24" t="n">
        <v>42.7172</v>
      </c>
      <c r="I42" s="24" t="n">
        <v>42.7172</v>
      </c>
      <c r="J42" s="26" t="inlineStr">
        <is>
          <t>非常昂貴</t>
        </is>
      </c>
      <c r="K42" s="24" t="n">
        <v>1.5177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116.82</v>
      </c>
      <c r="D43" s="22" t="inlineStr">
        <is>
          <t>CNY</t>
        </is>
      </c>
      <c r="E43" s="24" t="n">
        <v>25.2766</v>
      </c>
      <c r="F43" s="24" t="n">
        <v>37.9149</v>
      </c>
      <c r="G43" s="24" t="n">
        <v>58.1362</v>
      </c>
      <c r="H43" s="24" t="n">
        <v>75.82980000000001</v>
      </c>
      <c r="I43" s="24" t="n">
        <v>75.82980000000001</v>
      </c>
      <c r="J43" s="26" t="inlineStr">
        <is>
          <t>非常昂貴</t>
        </is>
      </c>
      <c r="K43" s="24" t="n">
        <v>2.3108</v>
      </c>
      <c r="L43" s="24" t="n">
        <v>37.9149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1264.75</v>
      </c>
      <c r="D44" s="12" t="inlineStr">
        <is>
          <t>CNY</t>
        </is>
      </c>
      <c r="E44" s="14" t="n">
        <v>593.4174</v>
      </c>
      <c r="F44" s="14" t="n">
        <v>890.1261</v>
      </c>
      <c r="G44" s="14" t="n">
        <v>1364.86</v>
      </c>
      <c r="H44" s="14" t="n">
        <v>1780.2522</v>
      </c>
      <c r="I44" s="14" t="n">
        <v>1780.2522</v>
      </c>
      <c r="J44" s="16" t="inlineStr">
        <is>
          <t>合理</t>
        </is>
      </c>
      <c r="K44" s="14" t="n">
        <v>1.0656</v>
      </c>
      <c r="L44" s="14" t="n">
        <v>890.1261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28.36</v>
      </c>
      <c r="D45" s="17" t="inlineStr">
        <is>
          <t>CNY</t>
        </is>
      </c>
      <c r="E45" s="19" t="n">
        <v>10.2844</v>
      </c>
      <c r="F45" s="19" t="n">
        <v>15.4266</v>
      </c>
      <c r="G45" s="19" t="n">
        <v>23.6542</v>
      </c>
      <c r="H45" s="19" t="n">
        <v>30.8533</v>
      </c>
      <c r="I45" s="19" t="n">
        <v>30.8533</v>
      </c>
      <c r="J45" s="21" t="inlineStr">
        <is>
          <t>昂貴</t>
        </is>
      </c>
      <c r="K45" s="19" t="n">
        <v>1.3788</v>
      </c>
      <c r="L45" s="19" t="n">
        <v>15.4266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60.94</v>
      </c>
      <c r="D46" s="22" t="inlineStr">
        <is>
          <t>CNY</t>
        </is>
      </c>
      <c r="E46" s="24" t="n">
        <v>17.8824</v>
      </c>
      <c r="F46" s="24" t="n">
        <v>26.8236</v>
      </c>
      <c r="G46" s="24" t="n">
        <v>41.1295</v>
      </c>
      <c r="H46" s="24" t="n">
        <v>53.6471</v>
      </c>
      <c r="I46" s="24" t="n">
        <v>53.6471</v>
      </c>
      <c r="J46" s="26" t="inlineStr">
        <is>
          <t>非常昂貴</t>
        </is>
      </c>
      <c r="K46" s="24" t="n">
        <v>1.7039</v>
      </c>
      <c r="L46" s="24" t="n">
        <v>26.8236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</v>
      </c>
      <c r="D47" s="7" t="inlineStr">
        <is>
          <t>CNY</t>
        </is>
      </c>
      <c r="E47" s="9" t="n">
        <v>50.4724</v>
      </c>
      <c r="F47" s="9" t="n">
        <v>75.7086</v>
      </c>
      <c r="G47" s="9" t="n">
        <v>116.0864</v>
      </c>
      <c r="H47" s="9" t="n">
        <v>151.4171</v>
      </c>
      <c r="I47" s="9" t="n">
        <v>151.4171</v>
      </c>
      <c r="J47" s="11" t="inlineStr">
        <is>
          <t>便宜</t>
        </is>
      </c>
      <c r="K47" s="9" t="n">
        <v>0.5548</v>
      </c>
      <c r="L47" s="9" t="n">
        <v>75.7086</v>
      </c>
    </row>
    <row r="48">
      <c r="A48" s="12" t="inlineStr">
        <is>
          <t>605117</t>
        </is>
      </c>
      <c r="B48" s="13" t="inlineStr">
        <is>
          <t>德业股份</t>
        </is>
      </c>
      <c r="C48" s="14" t="n">
        <v>85.59</v>
      </c>
      <c r="D48" s="12" t="inlineStr">
        <is>
          <t>CNY</t>
        </is>
      </c>
      <c r="E48" s="14" t="n">
        <v>56.5644</v>
      </c>
      <c r="F48" s="14" t="n">
        <v>84.8466</v>
      </c>
      <c r="G48" s="14" t="n">
        <v>130.0981</v>
      </c>
      <c r="H48" s="14" t="n">
        <v>169.6931</v>
      </c>
      <c r="I48" s="14" t="n">
        <v>169.6931</v>
      </c>
      <c r="J48" s="16" t="inlineStr">
        <is>
          <t>合理</t>
        </is>
      </c>
      <c r="K48" s="14" t="n">
        <v>0.7566000000000001</v>
      </c>
      <c r="L48" s="14" t="n">
        <v>84.8466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339.53</v>
      </c>
      <c r="D49" s="22" t="inlineStr">
        <is>
          <t>CNY</t>
        </is>
      </c>
      <c r="E49" s="24" t="n">
        <v>39.5062</v>
      </c>
      <c r="F49" s="24" t="n">
        <v>59.2593</v>
      </c>
      <c r="G49" s="24" t="n">
        <v>90.8643</v>
      </c>
      <c r="H49" s="24" t="n">
        <v>118.5187</v>
      </c>
      <c r="I49" s="24" t="n">
        <v>118.5187</v>
      </c>
      <c r="J49" s="26" t="inlineStr">
        <is>
          <t>非常昂貴</t>
        </is>
      </c>
      <c r="K49" s="24" t="n">
        <v>4.2972</v>
      </c>
      <c r="L49" s="24" t="n">
        <v>59.2593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279.49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26.8495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462.6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69.24679999999999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333.72</v>
      </c>
      <c r="D52" s="22" t="inlineStr">
        <is>
          <t>USD</t>
        </is>
      </c>
      <c r="E52" s="24" t="n">
        <v>24.5803</v>
      </c>
      <c r="F52" s="24" t="n">
        <v>36.8704</v>
      </c>
      <c r="G52" s="24" t="n">
        <v>56.5346</v>
      </c>
      <c r="H52" s="24" t="n">
        <v>73.74079999999999</v>
      </c>
      <c r="I52" s="24" t="n">
        <v>73.74079999999999</v>
      </c>
      <c r="J52" s="26" t="inlineStr">
        <is>
          <t>非常昂貴</t>
        </is>
      </c>
      <c r="K52" s="24" t="n">
        <v>6.7884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247.96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2.3155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520.47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280.01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10.3835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172.795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24.6989</v>
      </c>
      <c r="H56" s="24" t="n">
        <v>32.216</v>
      </c>
      <c r="I56" s="24" t="n">
        <v>32.216</v>
      </c>
      <c r="J56" s="26" t="inlineStr">
        <is>
          <t>非常昂貴</t>
        </is>
      </c>
      <c r="K56" s="24" t="n">
        <v>8.045500000000001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346.815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5.5176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267.14</v>
      </c>
      <c r="D58" s="7" t="inlineStr">
        <is>
          <t>USD</t>
        </is>
      </c>
      <c r="E58" s="9" t="n">
        <v>240.4035</v>
      </c>
      <c r="F58" s="9" t="n">
        <v>360.6053</v>
      </c>
      <c r="G58" s="9" t="n">
        <v>552.9281999999999</v>
      </c>
      <c r="H58" s="9" t="n">
        <v>721.2106</v>
      </c>
      <c r="I58" s="9" t="n">
        <v>721.2106</v>
      </c>
      <c r="J58" s="11" t="inlineStr">
        <is>
          <t>便宜</t>
        </is>
      </c>
      <c r="K58" s="9" t="n">
        <v>0.5556</v>
      </c>
      <c r="L58" s="9" t="n">
        <v>360.6053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88.34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6.2877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1143.525</v>
      </c>
      <c r="D60" s="22" t="inlineStr">
        <is>
          <t>USD</t>
        </is>
      </c>
      <c r="E60" s="24" t="n">
        <v>272.3697</v>
      </c>
      <c r="F60" s="24" t="n">
        <v>408.5545</v>
      </c>
      <c r="G60" s="24" t="n">
        <v>626.4503</v>
      </c>
      <c r="H60" s="24" t="n">
        <v>817.1091</v>
      </c>
      <c r="I60" s="24" t="n">
        <v>817.1091</v>
      </c>
      <c r="J60" s="26" t="inlineStr">
        <is>
          <t>非常昂貴</t>
        </is>
      </c>
      <c r="K60" s="24" t="n">
        <v>2.0992</v>
      </c>
      <c r="L60" s="24" t="n">
        <v>408.5545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494.77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6.0579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126.455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0.0059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216.05</v>
      </c>
      <c r="D63" s="22" t="inlineStr">
        <is>
          <t>USD</t>
        </is>
      </c>
      <c r="E63" s="24" t="n">
        <v>22.8737</v>
      </c>
      <c r="F63" s="24" t="n">
        <v>34.3106</v>
      </c>
      <c r="G63" s="24" t="n">
        <v>52.6095</v>
      </c>
      <c r="H63" s="24" t="n">
        <v>68.6211</v>
      </c>
      <c r="I63" s="24" t="n">
        <v>68.6211</v>
      </c>
      <c r="J63" s="26" t="inlineStr">
        <is>
          <t>非常昂貴</t>
        </is>
      </c>
      <c r="K63" s="24" t="n">
        <v>4.7227</v>
      </c>
      <c r="L63" s="24" t="n">
        <v>34.3106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147.64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7.3007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34.255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7.8536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364.31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80.4432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418.52</v>
      </c>
      <c r="D67" s="2" t="inlineStr">
        <is>
          <t>USD</t>
        </is>
      </c>
      <c r="E67" s="4" t="n">
        <v>3132.6606</v>
      </c>
      <c r="F67" s="4" t="n">
        <v>4698.9909</v>
      </c>
      <c r="G67" s="4" t="n">
        <v>7205.1193</v>
      </c>
      <c r="H67" s="4" t="n">
        <v>9397.9817</v>
      </c>
      <c r="I67" s="4" t="n">
        <v>9397.9817</v>
      </c>
      <c r="J67" s="6" t="inlineStr">
        <is>
          <t>非常便宜</t>
        </is>
      </c>
      <c r="K67" s="4" t="n">
        <v>0.0668</v>
      </c>
      <c r="L67" s="4" t="n">
        <v>4698.9909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378.87</v>
      </c>
      <c r="D68" s="12" t="inlineStr">
        <is>
          <t>USD</t>
        </is>
      </c>
      <c r="E68" s="14" t="n">
        <v>184.7121</v>
      </c>
      <c r="F68" s="14" t="n">
        <v>277.0682</v>
      </c>
      <c r="G68" s="14" t="n">
        <v>424.8379</v>
      </c>
      <c r="H68" s="14" t="n">
        <v>554.1364</v>
      </c>
      <c r="I68" s="14" t="n">
        <v>554.1364</v>
      </c>
      <c r="J68" s="16" t="inlineStr">
        <is>
          <t>合理</t>
        </is>
      </c>
      <c r="K68" s="14" t="n">
        <v>1.0256</v>
      </c>
      <c r="L68" s="14" t="n">
        <v>277.0682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372.25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81.38939999999999</v>
      </c>
      <c r="I69" s="24" t="n">
        <v>81.38939999999999</v>
      </c>
      <c r="J69" s="26" t="inlineStr">
        <is>
          <t>非常昂貴</t>
        </is>
      </c>
      <c r="K69" s="24" t="n">
        <v>6.8605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108.39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9.161099999999999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160.6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5.36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38.23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28.69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4.58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393.6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434.2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5.78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8.984999999999999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18.78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9.994999999999999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24.76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9.625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5.27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61.35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31.94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7.505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26.04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53.05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196.8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50.4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73.90000000000001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492.2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4.215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21.14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105.2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303.6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106.6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183.8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83.75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158.92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43.22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116.82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1264.75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28.36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60.94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85.59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339.53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279.49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462.6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333.72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247.96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520.47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280.01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172.795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346.815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267.14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88.34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1143.525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494.77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126.455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216.05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147.64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34.255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364.31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418.52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378.87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372.25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108.39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160.6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5.36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86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88.7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38.23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28.69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4.58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393.6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434.2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9" t="n">
        <v>5.78</v>
      </c>
      <c r="D13" s="7" t="n">
        <v>7.2</v>
      </c>
      <c r="E13" s="7" t="inlineStr">
        <is>
          <t>★★★★☆</t>
        </is>
      </c>
      <c r="F13" s="11" t="inlineStr">
        <is>
          <t>便宜</t>
        </is>
      </c>
      <c r="G13" s="7" t="inlineStr">
        <is>
          <t>便宜</t>
        </is>
      </c>
      <c r="H13" s="7" t="n">
        <v>93.7</v>
      </c>
      <c r="I13" s="8" t="inlineStr">
        <is>
          <t>連續十年獲利、淨現金穩健，惟ROE僅4.2%反映重資產低回報本質</t>
        </is>
      </c>
      <c r="J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8" t="inlineStr">
        <is>
          <t>ROE/ROIC長期低於股權成本8.7% / 流動比率0.70偏離安全標準 / FCFF終值佔比69%依賴假設</t>
        </is>
      </c>
      <c r="L13" s="7" t="inlineStr">
        <is>
          <t>qwen3.8-max</t>
        </is>
      </c>
      <c r="M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8.984999999999999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18.78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9.994999999999999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99.40000000000001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24.76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9.625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79.25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5.27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61.35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31.94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7.505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26.04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53.05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196.8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50.4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73.90000000000001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492.2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51.25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4.215</v>
      </c>
      <c r="D34" s="7" t="n">
        <v>8.199999999999999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便宜</t>
        </is>
      </c>
      <c r="H34" s="7" t="n">
        <v>93.09999999999999</v>
      </c>
      <c r="I34" s="8" t="inlineStr">
        <is>
          <t>連續十年獲利、ROIC達28%，現金流充沛且負債極低</t>
        </is>
      </c>
      <c r="J34" s="8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8" t="inlineStr">
        <is>
          <t>PE×PB超格雷厄姆22.5上限 / FCFF終值佔比達57.7% / 現金年減29%至29.8億</t>
        </is>
      </c>
      <c r="L34" s="7" t="inlineStr">
        <is>
          <t>qwen3.8-max</t>
        </is>
      </c>
      <c r="M34" s="7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21.14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105.2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303.6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106.6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183.8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83.75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158.92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43.22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116.82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1264.75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28.36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60.94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12" t="inlineStr">
        <is>
          <t>605117</t>
        </is>
      </c>
      <c r="B48" s="13" t="inlineStr">
        <is>
          <t>德业股份</t>
        </is>
      </c>
      <c r="C48" s="14" t="n">
        <v>85.59</v>
      </c>
      <c r="D48" s="12" t="n">
        <v>7.2</v>
      </c>
      <c r="E48" s="12" t="inlineStr">
        <is>
          <t>★★★★☆</t>
        </is>
      </c>
      <c r="F48" s="16" t="inlineStr">
        <is>
          <t>合理</t>
        </is>
      </c>
      <c r="G48" s="12" t="inlineStr">
        <is>
          <t>合理</t>
        </is>
      </c>
      <c r="H48" s="12" t="n">
        <v>91.5</v>
      </c>
      <c r="I48" s="13" t="inlineStr">
        <is>
          <t>ROE近38%、自由現金流率32%，成長與獲利品質俱佳</t>
        </is>
      </c>
      <c r="J48" s="13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13" t="inlineStr">
        <is>
          <t>PE約25倍，格雷厄姆標準未達 / 資本支出年增174%，回報待驗證 / 高成長假設若放緩將壓縮估值</t>
        </is>
      </c>
      <c r="L48" s="12" t="inlineStr">
        <is>
          <t>qwen3.8-max</t>
        </is>
      </c>
      <c r="M48" s="12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339.53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279.49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462.6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333.72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247.96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520.47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280.01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172.795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346.815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267.14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88.34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1143.525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494.77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126.455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216.05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147.64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34.255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364.31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418.52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378.87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372.25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108.39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2026-09-16T15:19:26Z</dcterms:created>
  <dcterms:modified xmlns:dcterms="http://purl.org/dc/terms/" xmlns:xsi="http://www.w3.org/2001/XMLSchema-instance" xsi:type="dcterms:W3CDTF">2026-09-16T15:19:30Z</dcterms:modified>
</cp:coreProperties>
</file>