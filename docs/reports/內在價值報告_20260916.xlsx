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'投資總覽'!$A$1:$AF$2</definedName>
    <definedName name="_xlnm._FilterDatabase" localSheetId="1" hidden="1">'估值模型明細'!$A$1:$Q$2</definedName>
    <definedName name="_xlnm._FilterDatabase" localSheetId="2" hidden="1">'五檔價位帶'!$A$1:$L$2</definedName>
    <definedName name="_xlnm._FilterDatabase" localSheetId="3" hidden="1">'關鍵財務指標'!$A$1:$AD$2</definedName>
    <definedName name="_xlnm._FilterDatabase" localSheetId="4" hidden="1">'AI投資建議'!$A$1:$M$2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00700</t>
        </is>
      </c>
      <c r="C2" s="3" t="inlineStr">
        <is>
          <t>腾讯控股</t>
        </is>
      </c>
      <c r="D2" s="4" t="n">
        <v>433</v>
      </c>
      <c r="E2" s="3" t="inlineStr"/>
      <c r="F2" s="2" t="inlineStr">
        <is>
          <t>mature</t>
        </is>
      </c>
      <c r="G2" s="2" t="inlineStr">
        <is>
          <t>HKD</t>
        </is>
      </c>
      <c r="H2" s="3" t="inlineStr"/>
      <c r="I2" s="4" t="n">
        <v>659.8543</v>
      </c>
      <c r="J2" s="4" t="n">
        <v>459.3431</v>
      </c>
      <c r="K2" s="4" t="n">
        <v>609.7476</v>
      </c>
      <c r="L2" s="5" t="n">
        <v>-34.4</v>
      </c>
      <c r="M2" s="5" t="n">
        <v>25</v>
      </c>
      <c r="N2" s="4" t="n">
        <v>494.8907</v>
      </c>
      <c r="O2" s="2" t="inlineStr">
        <is>
          <t>是</t>
        </is>
      </c>
      <c r="P2" s="6" t="inlineStr">
        <is>
          <t>便宜</t>
        </is>
      </c>
      <c r="Q2" s="2" t="inlineStr">
        <is>
          <t>便宜</t>
        </is>
      </c>
      <c r="R2" s="2" t="n">
        <v>8.5</v>
      </c>
      <c r="S2" s="2" t="inlineStr">
        <is>
          <t>★★★★☆</t>
        </is>
      </c>
      <c r="T2" s="2" t="n">
        <v>7</v>
      </c>
      <c r="U2" s="2" t="n">
        <v>9</v>
      </c>
      <c r="V2" s="2" t="n">
        <v>8.5</v>
      </c>
      <c r="W2" s="2" t="n">
        <v>95.90000000000001</v>
      </c>
      <c r="X2" s="3" t="inlineStr">
        <is>
          <t>毛利率57.39%穩定，ROE中位22.71%，自由現金流率24.83%，負債比0.42</t>
        </is>
      </c>
      <c r="Y2" s="5" t="n">
        <v>20.7</v>
      </c>
      <c r="Z2" s="5" t="n">
        <v>18.7</v>
      </c>
      <c r="AA2" s="5" t="n">
        <v>57.4</v>
      </c>
      <c r="AB2" s="5" t="n">
        <v>43.4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2026-09-03</t>
        </is>
      </c>
      <c r="AF2" s="3" t="inlineStr">
        <is>
          <t>報表幣別 CNY → 交易幣別 HKD，匯率 1.1641</t>
        </is>
      </c>
    </row>
  </sheetData>
  <autoFilter ref="A1:AF2"/>
  <conditionalFormatting sqref="R2">
    <cfRule type="dataBar" priority="1">
      <dataBar>
        <cfvo type="num" val="0"/>
        <cfvo type="num" val="10"/>
        <color rgb="00FF9500"/>
      </dataBar>
    </cfRule>
  </conditionalFormatting>
  <conditionalFormatting sqref="L2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7" t="inlineStr">
        <is>
          <t>00700</t>
        </is>
      </c>
      <c r="B2" s="8" t="inlineStr">
        <is>
          <t>腾讯控股</t>
        </is>
      </c>
      <c r="C2" s="9" t="n">
        <v>433</v>
      </c>
      <c r="D2" s="9" t="n">
        <v>659.8543</v>
      </c>
      <c r="E2" s="9" t="n">
        <v>282.2421</v>
      </c>
      <c r="F2" s="9" t="n">
        <v>469.194</v>
      </c>
      <c r="G2" s="9" t="inlineStr"/>
      <c r="H2" s="9" t="n">
        <v>684.9804</v>
      </c>
      <c r="I2" s="9" t="n">
        <v>369.1954</v>
      </c>
      <c r="J2" s="9" t="n">
        <v>459.3431</v>
      </c>
      <c r="K2" s="9" t="n">
        <v>3850.9893</v>
      </c>
      <c r="L2" s="9" t="n">
        <v>609.7476</v>
      </c>
      <c r="M2" s="9" t="n">
        <v>9.15</v>
      </c>
      <c r="N2" s="9" t="n">
        <v>9.949999999999999</v>
      </c>
      <c r="O2" s="7" t="n">
        <v>1</v>
      </c>
      <c r="P2" s="8" t="inlineStr">
        <is>
          <t>{"graham_number": 0.102, "graham_formula": 0.102, "buffett_oe": 0.245, "epv": 0.204, "damodaran_fcff": 0.245, "ri_pb": 0.051, "ddm": 0.051}</t>
        </is>
      </c>
      <c r="Q2" s="8" t="inlineStr">
        <is>
          <t>{"graham_number": {"EPS(3年均)": 20.938, "BVPS": 124.7758}, "graham_formula": {"g(上限10%)": 0.08, "Y公司債": 0.056}, "ncav": {"NCAV/股": 0.0, "NNWC/股": -47.8878, "net-net買點": 0.0}, "buffett_oe": {"業主盈餘(TTM,中位3年)": 202308000000.0, "g1": 0.1058, "永續g": 0.03, "門檻報酬r": 0.0905, "非營運投資(折70%)": 642665100000.0}, "epv": {"常態營業利益率": 0.3189, "常態NOPAT": 206641814252.0, "WACC": 0.0915, "淨現金": -12924000000.0}, "damodaran_fcff": {"銷售/資本": 0.8, "g1": 0.1076, "永續g": 0.03, "目標營業利益率": 0.3189, "WACC": 0.0915, "終值WACC": 0.0995, "有效稅率": 0.1678, "終值佔比": 0.565}, "ri_pb": {"常態ROE": 0.2271, "股權成本r": 0.0995, "留存成長g": 0.0945, "合理PB": 26.512}, "ddm": {"DPS": 4.8076, "g": 0.0895, "r": 0.0995}}</t>
        </is>
      </c>
    </row>
  </sheetData>
  <autoFilter ref="A1:Q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" t="inlineStr">
        <is>
          <t>00700</t>
        </is>
      </c>
      <c r="B2" s="3" t="inlineStr">
        <is>
          <t>腾讯控股</t>
        </is>
      </c>
      <c r="C2" s="4" t="n">
        <v>433</v>
      </c>
      <c r="D2" s="2" t="inlineStr">
        <is>
          <t>HKD</t>
        </is>
      </c>
      <c r="E2" s="4" t="n">
        <v>329.9271</v>
      </c>
      <c r="F2" s="4" t="n">
        <v>494.8907</v>
      </c>
      <c r="G2" s="4" t="n">
        <v>758.8324</v>
      </c>
      <c r="H2" s="4" t="n">
        <v>989.7814</v>
      </c>
      <c r="I2" s="4" t="n">
        <v>989.7814</v>
      </c>
      <c r="J2" s="6" t="inlineStr">
        <is>
          <t>便宜</t>
        </is>
      </c>
      <c r="K2" s="4" t="n">
        <v>0.6562</v>
      </c>
      <c r="L2" s="4" t="n">
        <v>494.8907</v>
      </c>
    </row>
  </sheetData>
  <autoFilter ref="A1:L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7" t="inlineStr">
        <is>
          <t>00700</t>
        </is>
      </c>
      <c r="B2" s="8" t="inlineStr">
        <is>
          <t>腾讯控股</t>
        </is>
      </c>
      <c r="C2" s="9" t="n">
        <v>433</v>
      </c>
      <c r="D2" s="7" t="n">
        <v>778561000000</v>
      </c>
      <c r="E2" s="7" t="n">
        <v>235508000000</v>
      </c>
      <c r="F2" s="7" t="n">
        <v>305848000000</v>
      </c>
      <c r="G2" s="7" t="n">
        <v>193325000000</v>
      </c>
      <c r="H2" s="7" t="n">
        <v>202308000000</v>
      </c>
      <c r="I2" s="7" t="n">
        <v>57.39</v>
      </c>
      <c r="J2" s="7" t="n">
        <v>33.21</v>
      </c>
      <c r="K2" s="7" t="n">
        <v>30.25</v>
      </c>
      <c r="L2" s="7" t="n">
        <v>24.83</v>
      </c>
      <c r="M2" s="7" t="n">
        <v>20.73</v>
      </c>
      <c r="N2" s="7" t="n">
        <v>22.71</v>
      </c>
      <c r="O2" s="7" t="n">
        <v>0.814677</v>
      </c>
      <c r="P2" s="7" t="n">
        <v>18.73</v>
      </c>
      <c r="Q2" s="7" t="n">
        <v>43.39</v>
      </c>
      <c r="R2" s="7" t="n">
        <v>0.415395</v>
      </c>
      <c r="S2" s="7" t="n">
        <v>1.287</v>
      </c>
      <c r="T2" s="7" t="n">
        <v>19.213957</v>
      </c>
      <c r="U2" s="7" t="n">
        <v>-12924000000</v>
      </c>
      <c r="V2" s="7" t="n">
        <v>918093000000</v>
      </c>
      <c r="W2" s="7" t="n">
        <v>10.76</v>
      </c>
      <c r="X2" s="7" t="n">
        <v>9.4</v>
      </c>
      <c r="Y2" s="7" t="n">
        <v>22.45</v>
      </c>
      <c r="Z2" s="7" t="n">
        <v>8</v>
      </c>
      <c r="AA2" s="7" t="n">
        <v>18.58</v>
      </c>
      <c r="AB2" s="7" t="n">
        <v>9</v>
      </c>
      <c r="AC2" s="7" t="n">
        <v>10</v>
      </c>
      <c r="AD2" s="7" t="inlineStr">
        <is>
          <t>4/7</t>
        </is>
      </c>
    </row>
  </sheetData>
  <autoFilter ref="A1:AD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" t="inlineStr">
        <is>
          <t>00700</t>
        </is>
      </c>
      <c r="B2" s="3" t="inlineStr">
        <is>
          <t>腾讯控股</t>
        </is>
      </c>
      <c r="C2" s="4" t="n">
        <v>433</v>
      </c>
      <c r="D2" s="2" t="n">
        <v>8.5</v>
      </c>
      <c r="E2" s="2" t="inlineStr">
        <is>
          <t>★★★★☆</t>
        </is>
      </c>
      <c r="F2" s="6" t="inlineStr">
        <is>
          <t>便宜</t>
        </is>
      </c>
      <c r="G2" s="2" t="inlineStr">
        <is>
          <t>便宜</t>
        </is>
      </c>
      <c r="H2" s="2" t="n">
        <v>95.90000000000001</v>
      </c>
      <c r="I2" s="3" t="inlineStr">
        <is>
          <t>毛利率57.39%穩定，ROE中位22.71%，自由現金流率24.83%，負債比0.42</t>
        </is>
      </c>
      <c r="J2" s="3" t="inlineStr">
        <is>
          <t>獲利品質優異，毛利率57.39%與營業利益率33.21%十年穩定，自由現金流率24.83%強勁，業主盈餘202308百萬高於淨利。資產負債結構安全，負債佔資產43.39%、負債權益比0.415，利息保障倍數19.21倍，但流動比率1.287低於防禦標準。成長動能持續，營收CAGR_10年22.45%，ROIC 18.73%支撐再投資報酬。估值模型加權內在價值659.85 HKD，現價433 HKD具25%安全邊際，安全買點494.89 HKD已達標。結論：財務體質穩健且估值便宜，建議密切觀察ROE穩定度、自由現金流、營收CAGR_3年及終值佔比變化。</t>
        </is>
      </c>
      <c r="K2" s="3" t="inlineStr">
        <is>
          <t>流動比率1.287偏低 / 終值佔比56.5%偏高 / 匯率轉換風險</t>
        </is>
      </c>
      <c r="L2" s="2" t="inlineStr">
        <is>
          <t>qwen-plus</t>
        </is>
      </c>
      <c r="M2" s="2" t="inlineStr">
        <is>
          <t>2026-09-03</t>
        </is>
      </c>
    </row>
  </sheetData>
  <autoFilter ref="A1:M2"/>
  <conditionalFormatting sqref="D2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10" t="inlineStr">
        <is>
          <t>章節</t>
        </is>
      </c>
      <c r="B1" s="11" t="inlineStr">
        <is>
          <t>內容</t>
        </is>
      </c>
    </row>
    <row r="2" ht="78" customHeight="1">
      <c r="A2" t="inlineStr">
        <is>
          <t>① 資料來源</t>
        </is>
      </c>
      <c r="B2" s="12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12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12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12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12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12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12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12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12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12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2026-09-15T16:06:57Z</dcterms:created>
  <dcterms:modified xmlns:dcterms="http://purl.org/dc/terms/" xmlns:xsi="http://www.w3.org/2001/XMLSchema-instance" xsi:type="dcterms:W3CDTF">2026-09-15T16:06:57Z</dcterms:modified>
</cp:coreProperties>
</file>