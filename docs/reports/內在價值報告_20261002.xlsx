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03998</t>
        </is>
      </c>
      <c r="C2" s="3" t="inlineStr">
        <is>
          <t>波司登</t>
        </is>
      </c>
      <c r="D2" s="4" t="n">
        <v>3.945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8.3293</v>
      </c>
      <c r="J2" s="4" t="n">
        <v>3.8847</v>
      </c>
      <c r="K2" s="4" t="n">
        <v>7.0855</v>
      </c>
      <c r="L2" s="5" t="n">
        <v>-52.6</v>
      </c>
      <c r="M2" s="5" t="n">
        <v>25</v>
      </c>
      <c r="N2" s="4" t="n">
        <v>6.2469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7</v>
      </c>
      <c r="U2" s="2" t="n">
        <v>9</v>
      </c>
      <c r="V2" s="2" t="n">
        <v>8.5</v>
      </c>
      <c r="W2" s="2" t="n">
        <v>93.09999999999999</v>
      </c>
      <c r="X2" s="3" t="inlineStr">
        <is>
          <t>高毛利、低負債、現金流充沛，十年穩健成長</t>
        </is>
      </c>
      <c r="Y2" s="5" t="n">
        <v>21.9</v>
      </c>
      <c r="Z2" s="5" t="n">
        <v>28.2</v>
      </c>
      <c r="AA2" s="5" t="n">
        <v>57.2</v>
      </c>
      <c r="AB2" s="5" t="n">
        <v>37.5</v>
      </c>
      <c r="AC2" s="2" t="inlineStr">
        <is>
          <t>2026</t>
        </is>
      </c>
      <c r="AD2" s="2" t="inlineStr">
        <is>
          <t>2026-03-31</t>
        </is>
      </c>
      <c r="AE2" s="2" t="inlineStr">
        <is>
          <t>2026-09-30</t>
        </is>
      </c>
      <c r="AF2" s="3" t="inlineStr">
        <is>
          <t>報表幣別 CNY → 交易幣別 HKD，匯率 1.1676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3.28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13.2826</v>
      </c>
      <c r="J3" s="4" t="n">
        <v>6.8815</v>
      </c>
      <c r="K3" s="4" t="n">
        <v>11.2656</v>
      </c>
      <c r="L3" s="5" t="n">
        <v>-75.3</v>
      </c>
      <c r="M3" s="5" t="n">
        <v>25</v>
      </c>
      <c r="N3" s="4" t="n">
        <v>9.962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8.199999999999999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8</v>
      </c>
      <c r="W3" s="2" t="n">
        <v>94.09999999999999</v>
      </c>
      <c r="X3" s="3" t="inlineStr">
        <is>
          <t>連續十年獲利、淨現金充裕，惟毛利率持續承壓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2026-09-30</t>
        </is>
      </c>
      <c r="AF3" s="3" t="inlineStr">
        <is>
          <t>報表幣別 CNY → 交易幣別 HKD，匯率 1.1676</t>
        </is>
      </c>
    </row>
    <row r="4">
      <c r="A4" s="2" t="inlineStr">
        <is>
          <t>HK</t>
        </is>
      </c>
      <c r="B4" s="2" t="inlineStr">
        <is>
          <t>00883</t>
        </is>
      </c>
      <c r="C4" s="3" t="inlineStr">
        <is>
          <t>中国海洋石油</t>
        </is>
      </c>
      <c r="D4" s="4" t="n">
        <v>23.68</v>
      </c>
      <c r="E4" s="3" t="inlineStr"/>
      <c r="F4" s="2" t="inlineStr">
        <is>
          <t>growth</t>
        </is>
      </c>
      <c r="G4" s="2" t="inlineStr">
        <is>
          <t>HKD</t>
        </is>
      </c>
      <c r="H4" s="3" t="inlineStr"/>
      <c r="I4" s="4" t="n">
        <v>71.9622</v>
      </c>
      <c r="J4" s="4" t="n">
        <v>41.4656</v>
      </c>
      <c r="K4" s="4" t="n">
        <v>67.98009999999999</v>
      </c>
      <c r="L4" s="5" t="n">
        <v>-67.09999999999999</v>
      </c>
      <c r="M4" s="5" t="n">
        <v>25</v>
      </c>
      <c r="N4" s="4" t="n">
        <v>53.9716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7.5</v>
      </c>
      <c r="W4" s="2" t="n">
        <v>91.2</v>
      </c>
      <c r="X4" s="3" t="inlineStr">
        <is>
          <t>高毛利低負債淨現金充裕，十年連續獲利，財務體質極穩健</t>
        </is>
      </c>
      <c r="Y4" s="5" t="n">
        <v>16.2</v>
      </c>
      <c r="Z4" s="5" t="n">
        <v>22.5</v>
      </c>
      <c r="AA4" s="5" t="n">
        <v>81.3</v>
      </c>
      <c r="AB4" s="5" t="n">
        <v>28.6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2026-09-30</t>
        </is>
      </c>
      <c r="AF4" s="3" t="inlineStr">
        <is>
          <t>缺關鍵科目：capex / 報表幣別 CNY → 交易幣別 HKD，匯率 1.1676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4" t="n">
        <v>38.1</v>
      </c>
      <c r="E5" s="3" t="inlineStr"/>
      <c r="F5" s="2" t="inlineStr">
        <is>
          <t>mature</t>
        </is>
      </c>
      <c r="G5" s="2" t="inlineStr">
        <is>
          <t>CNY</t>
        </is>
      </c>
      <c r="H5" s="3" t="inlineStr"/>
      <c r="I5" s="4" t="n">
        <v>142.5547</v>
      </c>
      <c r="J5" s="4" t="n">
        <v>55.8024</v>
      </c>
      <c r="K5" s="4" t="n">
        <v>151.0522</v>
      </c>
      <c r="L5" s="5" t="n">
        <v>-73.3</v>
      </c>
      <c r="M5" s="5" t="n">
        <v>25</v>
      </c>
      <c r="N5" s="4" t="n">
        <v>106.9161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十年穩定獲利、高ROIC與充沛現金流，惟營收已現衰退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2026-09-30</t>
        </is>
      </c>
      <c r="AF5" s="3" t="inlineStr"/>
    </row>
    <row r="6">
      <c r="A6" s="2" t="inlineStr">
        <is>
          <t>HK</t>
        </is>
      </c>
      <c r="B6" s="2" t="inlineStr">
        <is>
          <t>00857</t>
        </is>
      </c>
      <c r="C6" s="3" t="inlineStr">
        <is>
          <t>中国石油股份</t>
        </is>
      </c>
      <c r="D6" s="4" t="n">
        <v>9.654999999999999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23.0766</v>
      </c>
      <c r="J6" s="4" t="n">
        <v>14.9245</v>
      </c>
      <c r="K6" s="4" t="n">
        <v>15.5986</v>
      </c>
      <c r="L6" s="5" t="n">
        <v>-58.2</v>
      </c>
      <c r="M6" s="5" t="n">
        <v>25</v>
      </c>
      <c r="N6" s="4" t="n">
        <v>17.3075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7.8</v>
      </c>
      <c r="S6" s="2" t="inlineStr">
        <is>
          <t>★★★★☆</t>
        </is>
      </c>
      <c r="T6" s="2" t="n">
        <v>8</v>
      </c>
      <c r="U6" s="2" t="n">
        <v>7.5</v>
      </c>
      <c r="V6" s="2" t="n">
        <v>6.5</v>
      </c>
      <c r="W6" s="2" t="n">
        <v>99.5</v>
      </c>
      <c r="X6" s="3" t="inlineStr">
        <is>
          <t>十年連續獲利、現金流充沛、低槓桿的成熟能源巨頭</t>
        </is>
      </c>
      <c r="Y6" s="5" t="n">
        <v>10.7</v>
      </c>
      <c r="Z6" s="5" t="n">
        <v>10.6</v>
      </c>
      <c r="AA6" s="5" t="n">
        <v>33.7</v>
      </c>
      <c r="AB6" s="5" t="n">
        <v>38.9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2026-09-30</t>
        </is>
      </c>
      <c r="AF6" s="3" t="inlineStr">
        <is>
          <t>報表幣別 CNY → 交易幣別 HKD，匯率 1.1676</t>
        </is>
      </c>
    </row>
    <row r="7">
      <c r="A7" s="2" t="inlineStr">
        <is>
          <t>HK</t>
        </is>
      </c>
      <c r="B7" s="2" t="inlineStr">
        <is>
          <t>00762</t>
        </is>
      </c>
      <c r="C7" s="3" t="inlineStr">
        <is>
          <t>中国联通</t>
        </is>
      </c>
      <c r="D7" s="4" t="n">
        <v>5.475</v>
      </c>
      <c r="E7" s="3" t="inlineStr"/>
      <c r="F7" s="2" t="inlineStr">
        <is>
          <t>mature</t>
        </is>
      </c>
      <c r="G7" s="2" t="inlineStr">
        <is>
          <t>HKD</t>
        </is>
      </c>
      <c r="H7" s="3" t="inlineStr"/>
      <c r="I7" s="4" t="n">
        <v>11.4912</v>
      </c>
      <c r="J7" s="4" t="n">
        <v>8.4054</v>
      </c>
      <c r="K7" s="4" t="n">
        <v>12.4222</v>
      </c>
      <c r="L7" s="5" t="n">
        <v>-52.4</v>
      </c>
      <c r="M7" s="5" t="n">
        <v>25</v>
      </c>
      <c r="N7" s="4" t="n">
        <v>8.618399999999999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8</v>
      </c>
      <c r="U7" s="2" t="n">
        <v>5.5</v>
      </c>
      <c r="V7" s="2" t="n">
        <v>5.5</v>
      </c>
      <c r="W7" s="2" t="n">
        <v>93.7</v>
      </c>
      <c r="X7" s="3" t="inlineStr">
        <is>
          <t>低負債、連續十年獲利，但ROE僅4%、營業利益率偏薄的成熟電信股</t>
        </is>
      </c>
      <c r="Y7" s="5" t="n">
        <v>4.2</v>
      </c>
      <c r="Z7" s="5" t="n">
        <v>3.4</v>
      </c>
      <c r="AA7" s="5" t="n">
        <v>69</v>
      </c>
      <c r="AB7" s="5" t="n">
        <v>44.4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2026-09-30</t>
        </is>
      </c>
      <c r="AF7" s="3" t="inlineStr">
        <is>
          <t>報表幣別 CNY → 交易幣別 HKD，匯率 1.1676</t>
        </is>
      </c>
    </row>
    <row r="8">
      <c r="A8" s="2" t="inlineStr">
        <is>
          <t>US</t>
        </is>
      </c>
      <c r="B8" s="2" t="inlineStr">
        <is>
          <t>TSM</t>
        </is>
      </c>
      <c r="C8" s="3" t="inlineStr">
        <is>
          <t>台积电</t>
        </is>
      </c>
      <c r="D8" s="4" t="n">
        <v>431.57</v>
      </c>
      <c r="E8" s="3" t="inlineStr"/>
      <c r="F8" s="2" t="inlineStr">
        <is>
          <t>growth</t>
        </is>
      </c>
      <c r="G8" s="2" t="inlineStr">
        <is>
          <t>USD</t>
        </is>
      </c>
      <c r="H8" s="3" t="inlineStr"/>
      <c r="I8" s="4" t="n">
        <v>6265.31</v>
      </c>
      <c r="J8" s="4" t="n">
        <v>539.2962</v>
      </c>
      <c r="K8" s="4" t="n">
        <v>5285.4917</v>
      </c>
      <c r="L8" s="5" t="n">
        <v>-93.09999999999999</v>
      </c>
      <c r="M8" s="5" t="n">
        <v>25</v>
      </c>
      <c r="N8" s="4" t="n">
        <v>4698.9825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8</v>
      </c>
      <c r="V8" s="2" t="n">
        <v>6</v>
      </c>
      <c r="W8" s="2" t="n">
        <v>79.90000000000001</v>
      </c>
      <c r="X8" s="3" t="inlineStr">
        <is>
          <t>十年全獲利、淨利率近59%、淨現金3.47兆，財務體質極強</t>
        </is>
      </c>
      <c r="Y8" s="5" t="n">
        <v>12.7</v>
      </c>
      <c r="Z8" s="5" t="n">
        <v>22.3</v>
      </c>
      <c r="AA8" s="5" t="n">
        <v>69.8</v>
      </c>
      <c r="AB8" s="5" t="n">
        <v>30.9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2026-09-18</t>
        </is>
      </c>
      <c r="AF8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9">
      <c r="A9" s="2" t="inlineStr">
        <is>
          <t>HK</t>
        </is>
      </c>
      <c r="B9" s="2" t="inlineStr">
        <is>
          <t>00297</t>
        </is>
      </c>
      <c r="C9" s="3" t="inlineStr">
        <is>
          <t>中化化肥</t>
        </is>
      </c>
      <c r="D9" s="4" t="n">
        <v>1.225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3.8156</v>
      </c>
      <c r="J9" s="4" t="n">
        <v>2.2149</v>
      </c>
      <c r="K9" s="4" t="n">
        <v>2.9094</v>
      </c>
      <c r="L9" s="5" t="n">
        <v>-67.90000000000001</v>
      </c>
      <c r="M9" s="5" t="n">
        <v>25</v>
      </c>
      <c r="N9" s="4" t="n">
        <v>2.8617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7</v>
      </c>
      <c r="U9" s="2" t="n">
        <v>5.5</v>
      </c>
      <c r="V9" s="2" t="n">
        <v>6.5</v>
      </c>
      <c r="W9" s="2" t="n">
        <v>96.7</v>
      </c>
      <c r="X9" s="3" t="inlineStr">
        <is>
          <t>淨現金充裕、低負債，但獲利波動大、毛利率僅11.7%，屬成熟週期型體質</t>
        </is>
      </c>
      <c r="Y9" s="5" t="n">
        <v>11.1</v>
      </c>
      <c r="Z9" s="5" t="n">
        <v>13.5</v>
      </c>
      <c r="AA9" s="5" t="n">
        <v>11.7</v>
      </c>
      <c r="AB9" s="5" t="n">
        <v>45.7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2026-09-30</t>
        </is>
      </c>
      <c r="AF9" s="3" t="inlineStr">
        <is>
          <t>報表幣別 CNY → 交易幣別 HKD，匯率 1.1676</t>
        </is>
      </c>
    </row>
    <row r="10">
      <c r="A10" s="2" t="inlineStr">
        <is>
          <t>HK</t>
        </is>
      </c>
      <c r="B10" s="2" t="inlineStr">
        <is>
          <t>00836</t>
        </is>
      </c>
      <c r="C10" s="3" t="inlineStr">
        <is>
          <t>华润电力</t>
        </is>
      </c>
      <c r="D10" s="4" t="n">
        <v>19.51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53.4079</v>
      </c>
      <c r="J10" s="4" t="n">
        <v>27.8515</v>
      </c>
      <c r="K10" s="4" t="n">
        <v>62.7</v>
      </c>
      <c r="L10" s="5" t="n">
        <v>-63.5</v>
      </c>
      <c r="M10" s="5" t="n">
        <v>25</v>
      </c>
      <c r="N10" s="4" t="n">
        <v>40.056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6.2</v>
      </c>
      <c r="S10" s="2" t="inlineStr">
        <is>
          <t>★★★☆☆</t>
        </is>
      </c>
      <c r="T10" s="2" t="n">
        <v>6</v>
      </c>
      <c r="U10" s="2" t="n">
        <v>6.5</v>
      </c>
      <c r="V10" s="2" t="n">
        <v>6</v>
      </c>
      <c r="W10" s="2" t="n">
        <v>88.3</v>
      </c>
      <c r="X10" s="3" t="inlineStr">
        <is>
          <t>十年連續獲利、毛利率53%，但高槓桿與極薄自由現金流制约體質</t>
        </is>
      </c>
      <c r="Y10" s="5" t="n">
        <v>10.9</v>
      </c>
      <c r="Z10" s="5" t="n">
        <v>4.9</v>
      </c>
      <c r="AA10" s="5" t="n">
        <v>53</v>
      </c>
      <c r="AB10" s="5" t="n">
        <v>63.3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2026-09-30</t>
        </is>
      </c>
      <c r="AF10" s="3" t="inlineStr"/>
    </row>
    <row r="11">
      <c r="A11" s="2" t="inlineStr">
        <is>
          <t>HK</t>
        </is>
      </c>
      <c r="B11" s="2" t="inlineStr">
        <is>
          <t>00386</t>
        </is>
      </c>
      <c r="C11" s="3" t="inlineStr">
        <is>
          <t>中国石油化工股份</t>
        </is>
      </c>
      <c r="D11" s="4" t="n">
        <v>4.405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9.363</v>
      </c>
      <c r="J11" s="4" t="n">
        <v>3.5486</v>
      </c>
      <c r="K11" s="4" t="n">
        <v>6.2957</v>
      </c>
      <c r="L11" s="5" t="n">
        <v>-53</v>
      </c>
      <c r="M11" s="5" t="n">
        <v>25</v>
      </c>
      <c r="N11" s="4" t="n">
        <v>7.0222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5.8</v>
      </c>
      <c r="S11" s="2" t="inlineStr">
        <is>
          <t>★★★☆☆</t>
        </is>
      </c>
      <c r="T11" s="2" t="n">
        <v>6.5</v>
      </c>
      <c r="U11" s="2" t="n">
        <v>5.5</v>
      </c>
      <c r="V11" s="2" t="n">
        <v>4.5</v>
      </c>
      <c r="W11" s="2" t="n">
        <v>92.59999999999999</v>
      </c>
      <c r="X11" s="3" t="inlineStr">
        <is>
          <t>獲利極薄但現金流穩定，估值深度折價</t>
        </is>
      </c>
      <c r="Y11" s="5" t="n">
        <v>4.2</v>
      </c>
      <c r="Z11" s="5" t="n">
        <v>3.5</v>
      </c>
      <c r="AA11" s="5" t="n">
        <v>23.5</v>
      </c>
      <c r="AB11" s="5" t="n">
        <v>54.4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2026-09-30</t>
        </is>
      </c>
      <c r="AF11" s="3" t="inlineStr">
        <is>
          <t>缺關鍵科目：capex / 報表幣別 CNY → 交易幣別 HKD，匯率 1.1676</t>
        </is>
      </c>
    </row>
    <row r="12">
      <c r="A12" s="2" t="inlineStr">
        <is>
          <t>HK</t>
        </is>
      </c>
      <c r="B12" s="2" t="inlineStr">
        <is>
          <t>03968</t>
        </is>
      </c>
      <c r="C12" s="3" t="inlineStr">
        <is>
          <t>招商银行</t>
        </is>
      </c>
      <c r="D12" s="4" t="n">
        <v>51.35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590.304</v>
      </c>
      <c r="J12" s="4" t="n">
        <v>32.3377</v>
      </c>
      <c r="K12" s="4" t="n">
        <v>132.4549</v>
      </c>
      <c r="L12" s="5" t="n">
        <v>-91.3</v>
      </c>
      <c r="M12" s="5" t="n">
        <v>25</v>
      </c>
      <c r="N12" s="4" t="n">
        <v>442.728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5.5</v>
      </c>
      <c r="U12" s="2" t="n">
        <v>6.5</v>
      </c>
      <c r="V12" s="2" t="n">
        <v>5</v>
      </c>
      <c r="W12" s="2" t="n">
        <v>86.2</v>
      </c>
      <c r="X12" s="3" t="inlineStr">
        <is>
          <t>連續十年獲利派息，ROE穩定11.3%，財務紀律良好</t>
        </is>
      </c>
      <c r="Y12" s="5" t="n">
        <v>11.3</v>
      </c>
      <c r="Z12" s="5" t="n">
        <v>10.9</v>
      </c>
      <c r="AA12" s="5" t="inlineStr"/>
      <c r="AB12" s="5" t="n">
        <v>90.2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2026-09-30</t>
        </is>
      </c>
      <c r="AF12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3">
      <c r="A13" s="2" t="inlineStr">
        <is>
          <t>HK</t>
        </is>
      </c>
      <c r="B13" s="2" t="inlineStr">
        <is>
          <t>01398</t>
        </is>
      </c>
      <c r="C13" s="3" t="inlineStr">
        <is>
          <t>工商银行</t>
        </is>
      </c>
      <c r="D13" s="4" t="n">
        <v>7.66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98.78279999999999</v>
      </c>
      <c r="J13" s="4" t="n">
        <v>5.536</v>
      </c>
      <c r="K13" s="4" t="n">
        <v>13.1486</v>
      </c>
      <c r="L13" s="5" t="n">
        <v>-92.2</v>
      </c>
      <c r="M13" s="5" t="n">
        <v>25</v>
      </c>
      <c r="N13" s="4" t="n">
        <v>74.08710000000001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5</v>
      </c>
      <c r="U13" s="2" t="n">
        <v>6</v>
      </c>
      <c r="V13" s="2" t="n">
        <v>4.5</v>
      </c>
      <c r="W13" s="2" t="n">
        <v>87.8</v>
      </c>
      <c r="X13" s="3" t="inlineStr">
        <is>
          <t>十年穩定獲利派息，ROE穩健但成長動能偏弱</t>
        </is>
      </c>
      <c r="Y13" s="5" t="n">
        <v>8.6</v>
      </c>
      <c r="Z13" s="5" t="n">
        <v>8.699999999999999</v>
      </c>
      <c r="AA13" s="5" t="inlineStr"/>
      <c r="AB13" s="5" t="n">
        <v>92.40000000000001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2026-09-30</t>
        </is>
      </c>
      <c r="AF13" s="3" t="inlineStr">
        <is>
          <t>行情總股本(356,406,257,089)與財報EPS反推(4,244,259,000,000)差異&gt;25%，已改用反推值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4" t="n">
        <v>52.6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701.7938</v>
      </c>
      <c r="J14" s="4" t="n">
        <v>45.024</v>
      </c>
      <c r="K14" s="4" t="n">
        <v>136.9721</v>
      </c>
      <c r="L14" s="5" t="n">
        <v>-92.5</v>
      </c>
      <c r="M14" s="5" t="n">
        <v>25</v>
      </c>
      <c r="N14" s="4" t="n">
        <v>526.3453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</v>
      </c>
      <c r="U14" s="2" t="n">
        <v>5.5</v>
      </c>
      <c r="V14" s="2" t="n">
        <v>4.5</v>
      </c>
      <c r="W14" s="2" t="n">
        <v>91.2</v>
      </c>
      <c r="X14" s="3" t="inlineStr">
        <is>
          <t>現金流充沛但獲利波動大，負債率近九成，多項科目映射異常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2026-09-30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2" t="inlineStr">
        <is>
          <t>US</t>
        </is>
      </c>
      <c r="B15" s="2" t="inlineStr">
        <is>
          <t>BRK_B</t>
        </is>
      </c>
      <c r="C15" s="3" t="inlineStr">
        <is>
          <t>伯克希尔哈撒韦-B</t>
        </is>
      </c>
      <c r="D15" s="4" t="n">
        <v>503.515</v>
      </c>
      <c r="E15" s="3" t="inlineStr"/>
      <c r="F15" s="2" t="inlineStr">
        <is>
          <t>financial</t>
        </is>
      </c>
      <c r="G15" s="2" t="inlineStr">
        <is>
          <t>USD</t>
        </is>
      </c>
      <c r="H15" s="3" t="inlineStr">
        <is>
          <t>波克夏</t>
        </is>
      </c>
      <c r="I15" s="4" t="n">
        <v>1600617.8442</v>
      </c>
      <c r="J15" s="4" t="n">
        <v>65491.5835</v>
      </c>
      <c r="K15" s="4" t="n">
        <v>2552279.1766</v>
      </c>
      <c r="L15" s="5" t="n">
        <v>-100</v>
      </c>
      <c r="M15" s="5" t="n">
        <v>25</v>
      </c>
      <c r="N15" s="4" t="n">
        <v>1200463.3831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5</v>
      </c>
      <c r="S15" s="2" t="inlineStr">
        <is>
          <t>★★☆☆☆</t>
        </is>
      </c>
      <c r="T15" s="2" t="n">
        <v>6</v>
      </c>
      <c r="U15" s="2" t="n">
        <v>5</v>
      </c>
      <c r="V15" s="2" t="n">
        <v>4</v>
      </c>
      <c r="W15" s="2" t="n">
        <v>54.1</v>
      </c>
      <c r="X15" s="3" t="inlineStr">
        <is>
          <t>資產負債表極穩健、十年持續獲利，但現金流與營收數據全缺，成長動能偏弱。</t>
        </is>
      </c>
      <c r="Y15" s="5" t="n">
        <v>4.3</v>
      </c>
      <c r="Z15" s="5" t="n">
        <v>6.2</v>
      </c>
      <c r="AA15" s="5" t="inlineStr"/>
      <c r="AB15" s="5" t="n">
        <v>40.6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2026-09-22</t>
        </is>
      </c>
      <c r="AF15" s="3" t="inlineStr">
        <is>
          <t>行情總股本(2,140,710,161)與財報EPS反推(53,742,825)差異&gt;25%，已改用反推值 / 缺關鍵科目：revenue,cfo,capex,d_and_a,current_assets,current_liab</t>
        </is>
      </c>
    </row>
    <row r="16">
      <c r="A16" s="2" t="inlineStr">
        <is>
          <t>HK</t>
        </is>
      </c>
      <c r="B16" s="2" t="inlineStr">
        <is>
          <t>00939</t>
        </is>
      </c>
      <c r="C16" s="3" t="inlineStr">
        <is>
          <t>建设银行</t>
        </is>
      </c>
      <c r="D16" s="4" t="n">
        <v>9.699999999999999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131.1779</v>
      </c>
      <c r="J16" s="4" t="n">
        <v>7.1293</v>
      </c>
      <c r="K16" s="4" t="n">
        <v>20.2297</v>
      </c>
      <c r="L16" s="5" t="n">
        <v>-92.59999999999999</v>
      </c>
      <c r="M16" s="5" t="n">
        <v>25</v>
      </c>
      <c r="N16" s="4" t="n">
        <v>98.38339999999999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4</v>
      </c>
      <c r="U16" s="2" t="n">
        <v>5</v>
      </c>
      <c r="V16" s="2" t="n">
        <v>4</v>
      </c>
      <c r="W16" s="2" t="n">
        <v>87.40000000000001</v>
      </c>
      <c r="X16" s="3" t="inlineStr">
        <is>
          <t>十年連續獲利派息，但權益數據異常令估值可靠性存疑</t>
        </is>
      </c>
      <c r="Y16" s="5" t="n">
        <v>9.1</v>
      </c>
      <c r="Z16" s="5" t="n">
        <v>9.1</v>
      </c>
      <c r="AA16" s="5" t="inlineStr"/>
      <c r="AB16" s="5" t="n">
        <v>91.90000000000001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2026-09-30</t>
        </is>
      </c>
      <c r="AF16" s="3" t="inlineStr">
        <is>
          <t>行情總股本(261,600,381,459)與財報EPS反推(2,818,008,461,538)差異&gt;25%，已改用反推值 / 缺關鍵科目：revenue,cash,total_debt,current_assets,current_li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54.08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100.9536</v>
      </c>
      <c r="J17" s="9" t="n">
        <v>56.5185</v>
      </c>
      <c r="K17" s="9" t="n">
        <v>94.1225</v>
      </c>
      <c r="L17" s="10" t="n">
        <v>-46.4</v>
      </c>
      <c r="M17" s="10" t="n">
        <v>25</v>
      </c>
      <c r="N17" s="9" t="n">
        <v>75.7152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2026-09-30</t>
        </is>
      </c>
      <c r="AF17" s="8" t="inlineStr"/>
    </row>
    <row r="18">
      <c r="A18" s="7" t="inlineStr">
        <is>
          <t>CN</t>
        </is>
      </c>
      <c r="B18" s="7" t="inlineStr">
        <is>
          <t>000333</t>
        </is>
      </c>
      <c r="C18" s="8" t="inlineStr">
        <is>
          <t>美的集团</t>
        </is>
      </c>
      <c r="D18" s="9" t="n">
        <v>80.2</v>
      </c>
      <c r="E18" s="8" t="inlineStr"/>
      <c r="F18" s="7" t="inlineStr">
        <is>
          <t>mature</t>
        </is>
      </c>
      <c r="G18" s="7" t="inlineStr">
        <is>
          <t>CNY</t>
        </is>
      </c>
      <c r="H18" s="8" t="inlineStr"/>
      <c r="I18" s="9" t="n">
        <v>107.2573</v>
      </c>
      <c r="J18" s="9" t="n">
        <v>69.45959999999999</v>
      </c>
      <c r="K18" s="9" t="n">
        <v>136.1553</v>
      </c>
      <c r="L18" s="10" t="n">
        <v>-25.2</v>
      </c>
      <c r="M18" s="10" t="n">
        <v>25</v>
      </c>
      <c r="N18" s="9" t="n">
        <v>80.443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7.5</v>
      </c>
      <c r="W18" s="7" t="n">
        <v>88.8</v>
      </c>
      <c r="X18" s="8" t="inlineStr">
        <is>
          <t>連續十年獲利、ROE逾20%、淨現金為正的穩健現金牛</t>
        </is>
      </c>
      <c r="Y18" s="10" t="n">
        <v>20.9</v>
      </c>
      <c r="Z18" s="10" t="n">
        <v>22.3</v>
      </c>
      <c r="AA18" s="10" t="n">
        <v>26.5</v>
      </c>
      <c r="AB18" s="10" t="n">
        <v>64.90000000000001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2026-09-30</t>
        </is>
      </c>
      <c r="AF18" s="8" t="inlineStr"/>
    </row>
    <row r="19">
      <c r="A19" s="7" t="inlineStr">
        <is>
          <t>HK</t>
        </is>
      </c>
      <c r="B19" s="7" t="inlineStr">
        <is>
          <t>00700</t>
        </is>
      </c>
      <c r="C19" s="8" t="inlineStr">
        <is>
          <t>腾讯控股</t>
        </is>
      </c>
      <c r="D19" s="9" t="n">
        <v>425.6</v>
      </c>
      <c r="E19" s="8" t="inlineStr"/>
      <c r="F19" s="7" t="inlineStr">
        <is>
          <t>mature</t>
        </is>
      </c>
      <c r="G19" s="7" t="inlineStr">
        <is>
          <t>HKD</t>
        </is>
      </c>
      <c r="H19" s="8" t="inlineStr"/>
      <c r="I19" s="9" t="n">
        <v>662.4681</v>
      </c>
      <c r="J19" s="9" t="n">
        <v>461.1694</v>
      </c>
      <c r="K19" s="9" t="n">
        <v>612.1152</v>
      </c>
      <c r="L19" s="10" t="n">
        <v>-35.8</v>
      </c>
      <c r="M19" s="10" t="n">
        <v>25</v>
      </c>
      <c r="N19" s="9" t="n">
        <v>496.851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95.90000000000001</v>
      </c>
      <c r="X19" s="8" t="inlineStr">
        <is>
          <t>ROE逾20%且穩定，自由現金流率近25%，財務體質優良</t>
        </is>
      </c>
      <c r="Y19" s="10" t="n">
        <v>20.7</v>
      </c>
      <c r="Z19" s="10" t="n">
        <v>18.7</v>
      </c>
      <c r="AA19" s="10" t="n">
        <v>57.4</v>
      </c>
      <c r="AB19" s="10" t="n">
        <v>43.4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2026-09-30</t>
        </is>
      </c>
      <c r="AF19" s="8" t="inlineStr">
        <is>
          <t>報表幣別 CNY → 交易幣別 HKD，匯率 1.1676</t>
        </is>
      </c>
    </row>
    <row r="20">
      <c r="A20" s="7" t="inlineStr">
        <is>
          <t>CN</t>
        </is>
      </c>
      <c r="B20" s="7" t="inlineStr">
        <is>
          <t>300274</t>
        </is>
      </c>
      <c r="C20" s="8" t="inlineStr">
        <is>
          <t>阳光电源</t>
        </is>
      </c>
      <c r="D20" s="9" t="n">
        <v>82.23</v>
      </c>
      <c r="E20" s="8" t="inlineStr"/>
      <c r="F20" s="7" t="inlineStr">
        <is>
          <t>growth</t>
        </is>
      </c>
      <c r="G20" s="7" t="inlineStr">
        <is>
          <t>CNY</t>
        </is>
      </c>
      <c r="H20" s="8" t="inlineStr"/>
      <c r="I20" s="9" t="n">
        <v>126.3819</v>
      </c>
      <c r="J20" s="9" t="n">
        <v>67.58410000000001</v>
      </c>
      <c r="K20" s="9" t="n">
        <v>166.782</v>
      </c>
      <c r="L20" s="10" t="n">
        <v>-34.9</v>
      </c>
      <c r="M20" s="10" t="n">
        <v>25</v>
      </c>
      <c r="N20" s="9" t="n">
        <v>94.7864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7.8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8</v>
      </c>
      <c r="W20" s="7" t="n">
        <v>85.90000000000001</v>
      </c>
      <c r="X20" s="8" t="inlineStr">
        <is>
          <t>淨現金充裕、ROIC逾41%、十年連續獲利，現金流品質極佳</t>
        </is>
      </c>
      <c r="Y20" s="10" t="n">
        <v>21.7</v>
      </c>
      <c r="Z20" s="10" t="n">
        <v>41.1</v>
      </c>
      <c r="AA20" s="10" t="n">
        <v>32</v>
      </c>
      <c r="AB20" s="10" t="n">
        <v>58.2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2026-09-30</t>
        </is>
      </c>
      <c r="AF20" s="8" t="inlineStr"/>
    </row>
    <row r="21">
      <c r="A21" s="7" t="inlineStr">
        <is>
          <t>HK</t>
        </is>
      </c>
      <c r="B21" s="7" t="inlineStr">
        <is>
          <t>09999</t>
        </is>
      </c>
      <c r="C21" s="8" t="inlineStr">
        <is>
          <t>网易</t>
        </is>
      </c>
      <c r="D21" s="9" t="n">
        <v>190.2</v>
      </c>
      <c r="E21" s="8" t="inlineStr"/>
      <c r="F21" s="7" t="inlineStr">
        <is>
          <t>mature</t>
        </is>
      </c>
      <c r="G21" s="7" t="inlineStr">
        <is>
          <t>HKD</t>
        </is>
      </c>
      <c r="H21" s="8" t="inlineStr"/>
      <c r="I21" s="9" t="n">
        <v>301.6327</v>
      </c>
      <c r="J21" s="9" t="n">
        <v>154.1478</v>
      </c>
      <c r="K21" s="9" t="n">
        <v>380.6795</v>
      </c>
      <c r="L21" s="10" t="n">
        <v>-36.9</v>
      </c>
      <c r="M21" s="10" t="n">
        <v>25</v>
      </c>
      <c r="N21" s="9" t="n">
        <v>226.2245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7.6</v>
      </c>
      <c r="S21" s="7" t="inlineStr">
        <is>
          <t>★★★★☆</t>
        </is>
      </c>
      <c r="T21" s="7" t="n">
        <v>7</v>
      </c>
      <c r="U21" s="7" t="n">
        <v>8.5</v>
      </c>
      <c r="V21" s="7" t="n">
        <v>7</v>
      </c>
      <c r="W21" s="7" t="n">
        <v>84.8</v>
      </c>
      <c r="X21" s="8" t="inlineStr">
        <is>
          <t>高毛利、淨現金充裕、自由現金流率逾42%，財務體質極為穩健</t>
        </is>
      </c>
      <c r="Y21" s="10" t="n">
        <v>19.5</v>
      </c>
      <c r="Z21" s="10" t="n">
        <v>777.9</v>
      </c>
      <c r="AA21" s="10" t="n">
        <v>67.2</v>
      </c>
      <c r="AB21" s="10" t="n">
        <v>26.1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2026-09-30</t>
        </is>
      </c>
      <c r="AF21" s="8" t="inlineStr">
        <is>
          <t>報表幣別 CNY → 交易幣別 HKD，匯率 1.1676</t>
        </is>
      </c>
    </row>
    <row r="22">
      <c r="A22" s="7" t="inlineStr">
        <is>
          <t>CN</t>
        </is>
      </c>
      <c r="B22" s="7" t="inlineStr">
        <is>
          <t>605117</t>
        </is>
      </c>
      <c r="C22" s="8" t="inlineStr">
        <is>
          <t>德业股份</t>
        </is>
      </c>
      <c r="D22" s="9" t="n">
        <v>77.68000000000001</v>
      </c>
      <c r="E22" s="8" t="inlineStr"/>
      <c r="F22" s="7" t="inlineStr">
        <is>
          <t>growth</t>
        </is>
      </c>
      <c r="G22" s="7" t="inlineStr">
        <is>
          <t>CNY</t>
        </is>
      </c>
      <c r="H22" s="8" t="inlineStr"/>
      <c r="I22" s="9" t="n">
        <v>113.1491</v>
      </c>
      <c r="J22" s="9" t="n">
        <v>55.5052</v>
      </c>
      <c r="K22" s="9" t="n">
        <v>108.9458</v>
      </c>
      <c r="L22" s="10" t="n">
        <v>-31.3</v>
      </c>
      <c r="M22" s="10" t="n">
        <v>25</v>
      </c>
      <c r="N22" s="9" t="n">
        <v>84.8618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7.5</v>
      </c>
      <c r="S22" s="7" t="inlineStr">
        <is>
          <t>★★★★☆</t>
        </is>
      </c>
      <c r="T22" s="7" t="n">
        <v>5</v>
      </c>
      <c r="U22" s="7" t="n">
        <v>8.5</v>
      </c>
      <c r="V22" s="7" t="n">
        <v>8</v>
      </c>
      <c r="W22" s="7" t="n">
        <v>91.5</v>
      </c>
      <c r="X22" s="8" t="inlineStr">
        <is>
          <t>ROIC近59%、自由現金流率32%，財務體質優異</t>
        </is>
      </c>
      <c r="Y22" s="10" t="n">
        <v>38</v>
      </c>
      <c r="Z22" s="10" t="n">
        <v>58.5</v>
      </c>
      <c r="AA22" s="10" t="n">
        <v>38</v>
      </c>
      <c r="AB22" s="10" t="n">
        <v>53.9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2026-09-30</t>
        </is>
      </c>
      <c r="AF22" s="8" t="inlineStr">
        <is>
          <t>行情總股本(1,273,282,072)與財報EPS反推(902,750,991)差異&gt;25%，已改用反推值</t>
        </is>
      </c>
    </row>
    <row r="23">
      <c r="A23" s="7" t="inlineStr">
        <is>
          <t>HK</t>
        </is>
      </c>
      <c r="B23" s="7" t="inlineStr">
        <is>
          <t>02688</t>
        </is>
      </c>
      <c r="C23" s="8" t="inlineStr">
        <is>
          <t>新奥能源</t>
        </is>
      </c>
      <c r="D23" s="9" t="n">
        <v>48.32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84.5301</v>
      </c>
      <c r="J23" s="9" t="n">
        <v>83.5091</v>
      </c>
      <c r="K23" s="9" t="n">
        <v>106.3471</v>
      </c>
      <c r="L23" s="10" t="n">
        <v>-42.8</v>
      </c>
      <c r="M23" s="10" t="n">
        <v>25</v>
      </c>
      <c r="N23" s="9" t="n">
        <v>63.3976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7.2</v>
      </c>
      <c r="S23" s="7" t="inlineStr">
        <is>
          <t>★★★★☆</t>
        </is>
      </c>
      <c r="T23" s="7" t="n">
        <v>6.5</v>
      </c>
      <c r="U23" s="7" t="n">
        <v>7</v>
      </c>
      <c r="V23" s="7" t="n">
        <v>7.5</v>
      </c>
      <c r="W23" s="7" t="n">
        <v>93</v>
      </c>
      <c r="X23" s="8" t="inlineStr">
        <is>
          <t>十年穩定獲利與派息，現金流充裕但成長動能明顯減弱</t>
        </is>
      </c>
      <c r="Y23" s="10" t="n">
        <v>12.8</v>
      </c>
      <c r="Z23" s="10" t="n">
        <v>11.4</v>
      </c>
      <c r="AA23" s="10" t="n">
        <v>11.9</v>
      </c>
      <c r="AB23" s="10" t="n">
        <v>48.6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2026-09-30</t>
        </is>
      </c>
      <c r="AF23" s="8" t="inlineStr">
        <is>
          <t>缺關鍵科目：d_and_a / 報表幣別 CNY → 交易幣別 HKD，匯率 1.1676</t>
        </is>
      </c>
    </row>
    <row r="24">
      <c r="A24" s="7" t="inlineStr">
        <is>
          <t>HK</t>
        </is>
      </c>
      <c r="B24" s="7" t="inlineStr">
        <is>
          <t>09961</t>
        </is>
      </c>
      <c r="C24" s="8" t="inlineStr">
        <is>
          <t>携程集团-S</t>
        </is>
      </c>
      <c r="D24" s="9" t="n">
        <v>305.8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432.2191</v>
      </c>
      <c r="J24" s="9" t="n">
        <v>252.8537</v>
      </c>
      <c r="K24" s="9" t="n">
        <v>429.7347</v>
      </c>
      <c r="L24" s="10" t="n">
        <v>-29.2</v>
      </c>
      <c r="M24" s="10" t="n">
        <v>25</v>
      </c>
      <c r="N24" s="9" t="n">
        <v>324.1643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7</v>
      </c>
      <c r="S24" s="7" t="inlineStr">
        <is>
          <t>★★★★☆</t>
        </is>
      </c>
      <c r="T24" s="7" t="n">
        <v>5.5</v>
      </c>
      <c r="U24" s="7" t="n">
        <v>6.5</v>
      </c>
      <c r="V24" s="7" t="n">
        <v>7</v>
      </c>
      <c r="W24" s="7" t="n">
        <v>89.2</v>
      </c>
      <c r="X24" s="8" t="inlineStr">
        <is>
          <t>高毛利平台、淨現金充裕，惟獲利波動大、派息紀錄薄弱</t>
        </is>
      </c>
      <c r="Y24" s="10" t="n">
        <v>19.1</v>
      </c>
      <c r="Z24" s="10" t="n">
        <v>11.7</v>
      </c>
      <c r="AA24" s="10" t="n">
        <v>89.7</v>
      </c>
      <c r="AB24" s="10" t="n">
        <v>36.7</v>
      </c>
      <c r="AC24" s="7" t="inlineStr">
        <is>
          <t>2025</t>
        </is>
      </c>
      <c r="AD24" s="7" t="inlineStr">
        <is>
          <t>2026-03-31</t>
        </is>
      </c>
      <c r="AE24" s="7" t="inlineStr">
        <is>
          <t>2026-09-30</t>
        </is>
      </c>
      <c r="AF24" s="8" t="inlineStr">
        <is>
          <t>報表幣別 CNY → 交易幣別 HKD，匯率 1.1676</t>
        </is>
      </c>
    </row>
    <row r="25">
      <c r="A25" s="7" t="inlineStr">
        <is>
          <t>US</t>
        </is>
      </c>
      <c r="B25" s="7" t="inlineStr">
        <is>
          <t>JNJ</t>
        </is>
      </c>
      <c r="C25" s="8" t="inlineStr">
        <is>
          <t>强生</t>
        </is>
      </c>
      <c r="D25" s="9" t="n">
        <v>269.136</v>
      </c>
      <c r="E25" s="8" t="inlineStr"/>
      <c r="F25" s="7" t="inlineStr">
        <is>
          <t>mature</t>
        </is>
      </c>
      <c r="G25" s="7" t="inlineStr">
        <is>
          <t>USD</t>
        </is>
      </c>
      <c r="H25" s="8" t="inlineStr"/>
      <c r="I25" s="9" t="n">
        <v>480.8055</v>
      </c>
      <c r="J25" s="9" t="n">
        <v>9.3416</v>
      </c>
      <c r="K25" s="9" t="n">
        <v>17.7683</v>
      </c>
      <c r="L25" s="10" t="n">
        <v>-44</v>
      </c>
      <c r="M25" s="10" t="n">
        <v>25</v>
      </c>
      <c r="N25" s="9" t="n">
        <v>360.6041</v>
      </c>
      <c r="O25" s="7" t="inlineStr">
        <is>
          <t>是</t>
        </is>
      </c>
      <c r="P25" s="11" t="inlineStr">
        <is>
          <t>便宜</t>
        </is>
      </c>
      <c r="Q25" s="7" t="inlineStr">
        <is>
          <t>便宜</t>
        </is>
      </c>
      <c r="R25" s="7" t="n">
        <v>3</v>
      </c>
      <c r="S25" s="7" t="inlineStr">
        <is>
          <t>★★☆☆☆</t>
        </is>
      </c>
      <c r="T25" s="7" t="n">
        <v>2</v>
      </c>
      <c r="U25" s="7" t="n">
        <v>4</v>
      </c>
      <c r="V25" s="7" t="n">
        <v>3</v>
      </c>
      <c r="W25" s="7" t="n">
        <v>93.2</v>
      </c>
      <c r="X25" s="8" t="inlineStr">
        <is>
          <t>高毛利但現金流全缺，格雷厄姆檢查僅過2/7，數據品質存疑</t>
        </is>
      </c>
      <c r="Y25" s="10" t="n">
        <v>8.300000000000001</v>
      </c>
      <c r="Z25" s="10" t="n">
        <v>6.1</v>
      </c>
      <c r="AA25" s="10" t="n">
        <v>70.09999999999999</v>
      </c>
      <c r="AB25" s="10" t="n">
        <v>57.7</v>
      </c>
      <c r="AC25" s="7" t="inlineStr">
        <is>
          <t>2025</t>
        </is>
      </c>
      <c r="AD25" s="7" t="inlineStr">
        <is>
          <t>2026-06-28</t>
        </is>
      </c>
      <c r="AE25" s="7" t="inlineStr">
        <is>
          <t>2026-09-22</t>
        </is>
      </c>
      <c r="AF25" s="8" t="inlineStr">
        <is>
          <t>缺關鍵科目：cfo,capex,d_and_a</t>
        </is>
      </c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78.90000000000001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89.8815</v>
      </c>
      <c r="J26" s="14" t="n">
        <v>87.3331</v>
      </c>
      <c r="K26" s="14" t="n">
        <v>92.75839999999999</v>
      </c>
      <c r="L26" s="15" t="n">
        <v>-12.2</v>
      </c>
      <c r="M26" s="15" t="n">
        <v>25</v>
      </c>
      <c r="N26" s="14" t="n">
        <v>67.4111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2026-09-30</t>
        </is>
      </c>
      <c r="AF26" s="13" t="inlineStr">
        <is>
          <t>報表幣別 CNY → 交易幣別 HKD，匯率 1.1676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158.03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200.3017</v>
      </c>
      <c r="J27" s="14" t="n">
        <v>116.6319</v>
      </c>
      <c r="K27" s="14" t="n">
        <v>176.872</v>
      </c>
      <c r="L27" s="15" t="n">
        <v>-21.1</v>
      </c>
      <c r="M27" s="15" t="n">
        <v>25</v>
      </c>
      <c r="N27" s="14" t="n">
        <v>150.2263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2026-09-30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1236.51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1186.8353</v>
      </c>
      <c r="J28" s="14" t="n">
        <v>838.7876</v>
      </c>
      <c r="K28" s="14" t="n">
        <v>2058.441</v>
      </c>
      <c r="L28" s="15" t="n">
        <v>4.2</v>
      </c>
      <c r="M28" s="15" t="n">
        <v>25</v>
      </c>
      <c r="N28" s="14" t="n">
        <v>890.1264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2026-09-30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9.01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11.5825</v>
      </c>
      <c r="J29" s="14" t="n">
        <v>5.7963</v>
      </c>
      <c r="K29" s="14" t="n">
        <v>14.8341</v>
      </c>
      <c r="L29" s="15" t="n">
        <v>-22.2</v>
      </c>
      <c r="M29" s="15" t="n">
        <v>25</v>
      </c>
      <c r="N29" s="14" t="n">
        <v>8.6869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2026-09-30</t>
        </is>
      </c>
      <c r="AF29" s="13" t="inlineStr">
        <is>
          <t>報表幣別 CNY → 交易幣別 HKD，匯率 1.1676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24.94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28.82</v>
      </c>
      <c r="J30" s="14" t="n">
        <v>18.9304</v>
      </c>
      <c r="K30" s="14" t="n">
        <v>26.4961</v>
      </c>
      <c r="L30" s="15" t="n">
        <v>-13.5</v>
      </c>
      <c r="M30" s="15" t="n">
        <v>25</v>
      </c>
      <c r="N30" s="14" t="n">
        <v>21.615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95.3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2026-09-30</t>
        </is>
      </c>
      <c r="AF30" s="13" t="inlineStr">
        <is>
          <t>報表幣別 CNY → 交易幣別 HKD，匯率 1.1676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103.9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136.5663</v>
      </c>
      <c r="J31" s="14" t="n">
        <v>59.9665</v>
      </c>
      <c r="K31" s="14" t="n">
        <v>129.5677</v>
      </c>
      <c r="L31" s="15" t="n">
        <v>-23.9</v>
      </c>
      <c r="M31" s="15" t="n">
        <v>25</v>
      </c>
      <c r="N31" s="14" t="n">
        <v>102.4247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2026-09-30</t>
        </is>
      </c>
      <c r="AF31" s="13" t="inlineStr">
        <is>
          <t>報表幣別 CNY → 交易幣別 HKD，匯率 1.1676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32.88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41.2413</v>
      </c>
      <c r="J32" s="14" t="n">
        <v>11.4225</v>
      </c>
      <c r="K32" s="14" t="n">
        <v>52.2924</v>
      </c>
      <c r="L32" s="15" t="n">
        <v>-20.3</v>
      </c>
      <c r="M32" s="15" t="n">
        <v>35</v>
      </c>
      <c r="N32" s="14" t="n">
        <v>26.8068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82.2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2026-09-30</t>
        </is>
      </c>
      <c r="AF32" s="13" t="inlineStr">
        <is>
          <t>報表幣別 CNY → 交易幣別 HKD，匯率 1.1676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35.28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31.6484</v>
      </c>
      <c r="J33" s="14" t="n">
        <v>16.8903</v>
      </c>
      <c r="K33" s="14" t="n">
        <v>19.8496</v>
      </c>
      <c r="L33" s="15" t="n">
        <v>11.5</v>
      </c>
      <c r="M33" s="15" t="n">
        <v>25</v>
      </c>
      <c r="N33" s="14" t="n">
        <v>23.7363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93.2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2026-09-30</t>
        </is>
      </c>
      <c r="AF33" s="13" t="inlineStr">
        <is>
          <t>報表幣別 USD → 交易幣別 HKD，匯率 7.8445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3</v>
      </c>
      <c r="V34" s="12" t="n">
        <v>3</v>
      </c>
      <c r="W34" s="12" t="n">
        <v>80.5</v>
      </c>
      <c r="X34" s="13" t="inlineStr">
        <is>
          <t>營收十年CAGR逾10%，但淨利率僅1.8%、ROIC不足2%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01816</t>
        </is>
      </c>
      <c r="C35" s="18" t="inlineStr">
        <is>
          <t>中广核电力</t>
        </is>
      </c>
      <c r="D35" s="19" t="n">
        <v>3.04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/>
      <c r="I35" s="19" t="n">
        <v>2.3224</v>
      </c>
      <c r="J35" s="19" t="n">
        <v>1.8164</v>
      </c>
      <c r="K35" s="19" t="n">
        <v>3.9917</v>
      </c>
      <c r="L35" s="20" t="n">
        <v>30.9</v>
      </c>
      <c r="M35" s="20" t="n">
        <v>25</v>
      </c>
      <c r="N35" s="19" t="n">
        <v>1.7418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4.3</v>
      </c>
      <c r="S35" s="17" t="inlineStr">
        <is>
          <t>★★☆☆☆</t>
        </is>
      </c>
      <c r="T35" s="17" t="n">
        <v>4</v>
      </c>
      <c r="U35" s="17" t="n">
        <v>5</v>
      </c>
      <c r="V35" s="17" t="n">
        <v>4</v>
      </c>
      <c r="W35" s="17" t="n">
        <v>81</v>
      </c>
      <c r="X35" s="18" t="inlineStr">
        <is>
          <t>高槓桿重資本週期，自由現金流為負，獲利穩定但再投資報酬偏低</t>
        </is>
      </c>
      <c r="Y35" s="20" t="n">
        <v>8</v>
      </c>
      <c r="Z35" s="20" t="n">
        <v>4.6</v>
      </c>
      <c r="AA35" s="20" t="n">
        <v>33.3</v>
      </c>
      <c r="AB35" s="20" t="n">
        <v>68.2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2026-09-30</t>
        </is>
      </c>
      <c r="AF35" s="18" t="inlineStr">
        <is>
          <t>缺關鍵科目：d_and_a / 報表幣別 CNY → 交易幣別 HKD，匯率 1.1676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28.6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20.562</v>
      </c>
      <c r="J36" s="19" t="n">
        <v>16.2467</v>
      </c>
      <c r="K36" s="19" t="n">
        <v>22.7622</v>
      </c>
      <c r="L36" s="20" t="n">
        <v>39.1</v>
      </c>
      <c r="M36" s="20" t="n">
        <v>25</v>
      </c>
      <c r="N36" s="19" t="n">
        <v>15.4215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毛利率62%、ROE穩定近17%，惟負債權益比1.31、流動比率僅0.20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2026-09-30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9" t="n">
        <v>481.8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>
        <is>
          <t>寧德港股</t>
        </is>
      </c>
      <c r="I37" s="19" t="n">
        <v>384.0527</v>
      </c>
      <c r="J37" s="19" t="n">
        <v>170.6496</v>
      </c>
      <c r="K37" s="19" t="n">
        <v>310.111</v>
      </c>
      <c r="L37" s="20" t="n">
        <v>25.5</v>
      </c>
      <c r="M37" s="20" t="n">
        <v>25</v>
      </c>
      <c r="N37" s="19" t="n">
        <v>288.0395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2</v>
      </c>
      <c r="U37" s="17" t="n">
        <v>5.5</v>
      </c>
      <c r="V37" s="17" t="n">
        <v>4</v>
      </c>
      <c r="W37" s="17" t="n">
        <v>81.09999999999999</v>
      </c>
      <c r="X37" s="18" t="inlineStr">
        <is>
          <t>ROE逾22%、淨現金1,206億，獲利與現金流品質優異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2026-09-30</t>
        </is>
      </c>
      <c r="AF37" s="18" t="inlineStr">
        <is>
          <t>缺關鍵科目：d_and_a / 報表幣別 CNY → 交易幣別 HKD，匯率 1.1676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30.62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23.0529</v>
      </c>
      <c r="J38" s="19" t="n">
        <v>8.570600000000001</v>
      </c>
      <c r="K38" s="19" t="n">
        <v>15.399</v>
      </c>
      <c r="L38" s="20" t="n">
        <v>32.8</v>
      </c>
      <c r="M38" s="20" t="n">
        <v>25</v>
      </c>
      <c r="N38" s="19" t="n">
        <v>17.2897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3.3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3</v>
      </c>
      <c r="W38" s="17" t="n">
        <v>94.7</v>
      </c>
      <c r="X38" s="18" t="inlineStr">
        <is>
          <t>現金流穩健但獲利薄、ROIC未達資本成本，財務體質中等偏弱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2026-09-30</t>
        </is>
      </c>
      <c r="AF38" s="18" t="inlineStr">
        <is>
          <t>行情總股本(755,860,409)與財報EPS反推(516,847,311)差異&gt;25%，已改用反推值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209.4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103.3438</v>
      </c>
      <c r="J39" s="24" t="n">
        <v>66.5496</v>
      </c>
      <c r="K39" s="24" t="n">
        <v>112.1653</v>
      </c>
      <c r="L39" s="25" t="n">
        <v>102.6</v>
      </c>
      <c r="M39" s="25" t="n">
        <v>25</v>
      </c>
      <c r="N39" s="24" t="n">
        <v>77.50790000000001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4.2</v>
      </c>
      <c r="S39" s="22" t="inlineStr">
        <is>
          <t>★★☆☆☆</t>
        </is>
      </c>
      <c r="T39" s="22" t="n">
        <v>3</v>
      </c>
      <c r="U39" s="22" t="n">
        <v>5.5</v>
      </c>
      <c r="V39" s="22" t="n">
        <v>4</v>
      </c>
      <c r="W39" s="22" t="n">
        <v>92.09999999999999</v>
      </c>
      <c r="X39" s="23" t="inlineStr">
        <is>
          <t>高毛利強現金流體質一流，惟估值遠超內在價值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2026-09-30</t>
        </is>
      </c>
      <c r="AF39" s="23" t="inlineStr">
        <is>
          <t>報表幣別 CNY → 交易幣別 HKD，匯率 1.1676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46.3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16.1529</v>
      </c>
      <c r="K40" s="24" t="n">
        <v>22.6237</v>
      </c>
      <c r="L40" s="25" t="n">
        <v>62.6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3.8</v>
      </c>
      <c r="S40" s="22" t="inlineStr">
        <is>
          <t>★★☆☆☆</t>
        </is>
      </c>
      <c r="T40" s="22" t="n">
        <v>4</v>
      </c>
      <c r="U40" s="22" t="n">
        <v>4.5</v>
      </c>
      <c r="V40" s="22" t="n">
        <v>3</v>
      </c>
      <c r="W40" s="22" t="n">
        <v>95.90000000000001</v>
      </c>
      <c r="X40" s="23" t="inlineStr">
        <is>
          <t>毛利率86%、淨現金387億，財務極穩健但估值嚴重偏離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2026-09-30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156.5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92.5878</v>
      </c>
      <c r="J41" s="24" t="n">
        <v>50.5945</v>
      </c>
      <c r="K41" s="24" t="n">
        <v>147.3382</v>
      </c>
      <c r="L41" s="25" t="n">
        <v>69</v>
      </c>
      <c r="M41" s="25" t="n">
        <v>25</v>
      </c>
      <c r="N41" s="24" t="n">
        <v>69.4409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3.5</v>
      </c>
      <c r="S41" s="22" t="inlineStr">
        <is>
          <t>★★☆☆☆</t>
        </is>
      </c>
      <c r="T41" s="22" t="n">
        <v>3</v>
      </c>
      <c r="U41" s="22" t="n">
        <v>4</v>
      </c>
      <c r="V41" s="22" t="n">
        <v>4</v>
      </c>
      <c r="W41" s="22" t="n">
        <v>70.40000000000001</v>
      </c>
      <c r="X41" s="23" t="inlineStr">
        <is>
          <t>十年持續獲利、現金流充沛，但槓桿極高且派息率異常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2026-09-30</t>
        </is>
      </c>
      <c r="AF41" s="23" t="inlineStr">
        <is>
          <t xml:space="preserve">行情總股本(17,141,942,291)與財報EPS反推(163,822,314,050)差異&gt;25%，已改用反推值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116.16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50.5538</v>
      </c>
      <c r="J42" s="24" t="n">
        <v>39.5892</v>
      </c>
      <c r="K42" s="24" t="n">
        <v>50.2832</v>
      </c>
      <c r="L42" s="25" t="n">
        <v>129.8</v>
      </c>
      <c r="M42" s="25" t="n">
        <v>25</v>
      </c>
      <c r="N42" s="24" t="n">
        <v>37.9153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3.5</v>
      </c>
      <c r="S42" s="22" t="inlineStr">
        <is>
          <t>★★☆☆☆</t>
        </is>
      </c>
      <c r="T42" s="22" t="n">
        <v>5</v>
      </c>
      <c r="U42" s="22" t="n">
        <v>4</v>
      </c>
      <c r="V42" s="22" t="n">
        <v>3.5</v>
      </c>
      <c r="W42" s="22" t="n">
        <v>96.2</v>
      </c>
      <c r="X42" s="23" t="inlineStr">
        <is>
          <t>獲利仍存但現金流驟降、毛利率與ROE明顯承壓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2026-09-30</t>
        </is>
      </c>
      <c r="AF42" s="23" t="inlineStr"/>
    </row>
    <row r="43">
      <c r="A43" s="22" t="inlineStr">
        <is>
          <t>CN</t>
        </is>
      </c>
      <c r="B43" s="22" t="inlineStr">
        <is>
          <t>601138</t>
        </is>
      </c>
      <c r="C43" s="23" t="inlineStr">
        <is>
          <t>工业富联</t>
        </is>
      </c>
      <c r="D43" s="24" t="n">
        <v>59.1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35.7728</v>
      </c>
      <c r="J43" s="24" t="n">
        <v>25.6275</v>
      </c>
      <c r="K43" s="24" t="n">
        <v>36.6914</v>
      </c>
      <c r="L43" s="25" t="n">
        <v>65.2</v>
      </c>
      <c r="M43" s="25" t="n">
        <v>25</v>
      </c>
      <c r="N43" s="24" t="n">
        <v>26.8296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92.3</v>
      </c>
      <c r="X43" s="23" t="inlineStr">
        <is>
          <t>營收高增但自由現金流為負，薄利模式高度依賴資本開支擴張</t>
        </is>
      </c>
      <c r="Y43" s="25" t="n">
        <v>26.7</v>
      </c>
      <c r="Z43" s="25" t="n">
        <v>25.6</v>
      </c>
      <c r="AA43" s="25" t="n">
        <v>7.2</v>
      </c>
      <c r="AB43" s="25" t="n">
        <v>65.7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2026-09-30</t>
        </is>
      </c>
      <c r="AF43" s="23" t="inlineStr">
        <is>
          <t>缺關鍵科目：d_and_a</t>
        </is>
      </c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4" t="n">
        <v>385.6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156.7211</v>
      </c>
      <c r="J44" s="24" t="n">
        <v>110.3945</v>
      </c>
      <c r="K44" s="24" t="n">
        <v>215.7121</v>
      </c>
      <c r="L44" s="25" t="n">
        <v>146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3.4</v>
      </c>
      <c r="S44" s="22" t="inlineStr">
        <is>
          <t>★★☆☆☆</t>
        </is>
      </c>
      <c r="T44" s="22" t="n">
        <v>2.5</v>
      </c>
      <c r="U44" s="22" t="n">
        <v>4.5</v>
      </c>
      <c r="V44" s="22" t="n">
        <v>3.2</v>
      </c>
      <c r="W44" s="22" t="n">
        <v>82.8</v>
      </c>
      <c r="X44" s="23" t="inlineStr">
        <is>
          <t>營業利益十年穩增、現金流充裕，但歸母淨利波動大且估值極高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2026-09-30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06613</t>
        </is>
      </c>
      <c r="C45" s="23" t="inlineStr">
        <is>
          <t>蓝思科技</t>
        </is>
      </c>
      <c r="D45" s="24" t="n">
        <v>21.74</v>
      </c>
      <c r="E45" s="23" t="inlineStr"/>
      <c r="F45" s="22" t="inlineStr">
        <is>
          <t>mature</t>
        </is>
      </c>
      <c r="G45" s="22" t="inlineStr">
        <is>
          <t>HKD</t>
        </is>
      </c>
      <c r="H45" s="23" t="inlineStr"/>
      <c r="I45" s="24" t="n">
        <v>12.2453</v>
      </c>
      <c r="J45" s="24" t="n">
        <v>6.6442</v>
      </c>
      <c r="K45" s="24" t="n">
        <v>9.710800000000001</v>
      </c>
      <c r="L45" s="25" t="n">
        <v>77.5</v>
      </c>
      <c r="M45" s="25" t="n">
        <v>25</v>
      </c>
      <c r="N45" s="24" t="n">
        <v>9.1839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85.3</v>
      </c>
      <c r="X45" s="23" t="inlineStr">
        <is>
          <t>獲利穩定但利潤率薄，資本密集致自由現金流極弱</t>
        </is>
      </c>
      <c r="Y45" s="25" t="n">
        <v>6.5</v>
      </c>
      <c r="Z45" s="25" t="n">
        <v>6.3</v>
      </c>
      <c r="AA45" s="25" t="n">
        <v>15.7</v>
      </c>
      <c r="AB45" s="25" t="n">
        <v>37.5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2026-09-30</t>
        </is>
      </c>
      <c r="AF45" s="23" t="inlineStr">
        <is>
          <t>報表幣別 CNY → 交易幣別 HKD，匯率 1.1676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106.1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68.3373</v>
      </c>
      <c r="J46" s="24" t="n">
        <v>58.7225</v>
      </c>
      <c r="K46" s="24" t="n">
        <v>64.1514</v>
      </c>
      <c r="L46" s="25" t="n">
        <v>55.3</v>
      </c>
      <c r="M46" s="25" t="n">
        <v>25</v>
      </c>
      <c r="N46" s="24" t="n">
        <v>51.253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2026-09-30</t>
        </is>
      </c>
      <c r="AF46" s="23" t="inlineStr">
        <is>
          <t>報表幣別 CNY → 交易幣別 HKD，匯率 1.1676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327.11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79.0137</v>
      </c>
      <c r="J47" s="24" t="n">
        <v>56.4053</v>
      </c>
      <c r="K47" s="24" t="n">
        <v>76.496</v>
      </c>
      <c r="L47" s="25" t="n">
        <v>314</v>
      </c>
      <c r="M47" s="25" t="n">
        <v>25</v>
      </c>
      <c r="N47" s="24" t="n">
        <v>59.2603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95.40000000000001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2026-09-30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219.54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45.7474</v>
      </c>
      <c r="J49" s="24" t="n">
        <v>6.8363</v>
      </c>
      <c r="K49" s="24" t="n">
        <v>31.5866</v>
      </c>
      <c r="L49" s="25" t="n">
        <v>379.9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2026-09-18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277.34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2564.3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2026-09-30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253.56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136.8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2026-09-18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358.794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</v>
      </c>
      <c r="K52" s="24" t="n">
        <v>15.3128</v>
      </c>
      <c r="L52" s="25" t="n">
        <v>470.8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2026-09-22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495.83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81.6729</v>
      </c>
      <c r="J54" s="24" t="n">
        <v>3.4477</v>
      </c>
      <c r="K54" s="24" t="n">
        <v>86.59699999999999</v>
      </c>
      <c r="L54" s="25" t="n">
        <v>507.1</v>
      </c>
      <c r="M54" s="25" t="n">
        <v>25</v>
      </c>
      <c r="N54" s="24" t="n">
        <v>61.2547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2026-09-22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369.03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54.2597</v>
      </c>
      <c r="J55" s="24" t="n">
        <v>9.348100000000001</v>
      </c>
      <c r="K55" s="24" t="n">
        <v>61.9902</v>
      </c>
      <c r="L55" s="25" t="n">
        <v>580.1</v>
      </c>
      <c r="M55" s="25" t="n">
        <v>25</v>
      </c>
      <c r="N55" s="24" t="n">
        <v>40.6947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61.15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6.9184</v>
      </c>
      <c r="J56" s="24" t="n">
        <v>3.7781</v>
      </c>
      <c r="K56" s="24" t="n">
        <v>10.414</v>
      </c>
      <c r="L56" s="25" t="n">
        <v>783.9</v>
      </c>
      <c r="M56" s="25" t="n">
        <v>25</v>
      </c>
      <c r="N56" s="24" t="n">
        <v>5.1888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82.7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2026-09-30</t>
        </is>
      </c>
      <c r="AF56" s="23" t="inlineStr">
        <is>
          <t>報表幣別 USD → 交易幣別 HKD，匯率 7.8445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446.88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6589.3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2026-09-30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283.66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26.9669</v>
      </c>
      <c r="J58" s="24" t="n">
        <v>1.7995</v>
      </c>
      <c r="K58" s="24" t="n">
        <v>8.8208</v>
      </c>
      <c r="L58" s="25" t="n">
        <v>951.9</v>
      </c>
      <c r="M58" s="25" t="n">
        <v>25</v>
      </c>
      <c r="N58" s="24" t="n">
        <v>20.2252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2026-09-18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167.445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21.4774</v>
      </c>
      <c r="J59" s="24" t="n">
        <v>4.7985</v>
      </c>
      <c r="K59" s="24" t="n">
        <v>5.0403</v>
      </c>
      <c r="L59" s="25" t="n">
        <v>679.6</v>
      </c>
      <c r="M59" s="25" t="n">
        <v>25</v>
      </c>
      <c r="N59" s="24" t="n">
        <v>16.108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146.33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623.6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2026-09-18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32.975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656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107.11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11.8315</v>
      </c>
      <c r="J62" s="24" t="n">
        <v>0.1989</v>
      </c>
      <c r="K62" s="24" t="n">
        <v>28.2934</v>
      </c>
      <c r="L62" s="25" t="n">
        <v>805.3</v>
      </c>
      <c r="M62" s="25" t="n">
        <v>25</v>
      </c>
      <c r="N62" s="24" t="n">
        <v>8.873699999999999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66.5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2026-09-18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70.2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14.0036</v>
      </c>
      <c r="J63" s="24" t="n">
        <v>4.7988</v>
      </c>
      <c r="K63" s="24" t="n">
        <v>58.306</v>
      </c>
      <c r="L63" s="25" t="n">
        <v>401.3</v>
      </c>
      <c r="M63" s="25" t="n">
        <v>25</v>
      </c>
      <c r="N63" s="24" t="n">
        <v>10.5027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2026-09-30</t>
        </is>
      </c>
      <c r="AF63" s="23" t="inlineStr">
        <is>
          <t>報表幣別 CNY → 交易幣別 HKD，匯率 1.1676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87.78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524.8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2026-09-18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1.225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0.09660000000000001</v>
      </c>
      <c r="J65" s="24" t="n">
        <v>0.0895</v>
      </c>
      <c r="K65" s="24" t="n">
        <v>0.1249</v>
      </c>
      <c r="L65" s="25" t="n">
        <v>1168.1</v>
      </c>
      <c r="M65" s="25" t="n">
        <v>25</v>
      </c>
      <c r="N65" s="24" t="n">
        <v>0.07240000000000001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2026-09-30</t>
        </is>
      </c>
      <c r="AF65" s="23" t="inlineStr">
        <is>
          <t>報表幣別 CNY → 交易幣別 HKD，匯率 1.1676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5.4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158.5142</v>
      </c>
      <c r="J67" s="29" t="n">
        <v>4.6567</v>
      </c>
      <c r="K67" s="29" t="n">
        <v>62.331</v>
      </c>
      <c r="L67" s="30" t="n">
        <v>-96.59999999999999</v>
      </c>
      <c r="M67" s="30" t="n">
        <v>35</v>
      </c>
      <c r="N67" s="29" t="n">
        <v>103.0342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2026-09-30</t>
        </is>
      </c>
      <c r="AF67" s="28" t="inlineStr">
        <is>
          <t>報表幣別 CNY → 交易幣別 HKD，匯率 1.1676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147.92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>
        <is>
          <t>比特幣財庫</t>
        </is>
      </c>
      <c r="I68" s="29" t="n">
        <v>21296.5965</v>
      </c>
      <c r="J68" s="29" t="n">
        <v>21296.5965</v>
      </c>
      <c r="K68" s="29" t="n">
        <v>21296.5965</v>
      </c>
      <c r="L68" s="30" t="n">
        <v>-99.3</v>
      </c>
      <c r="M68" s="30" t="n">
        <v>25</v>
      </c>
      <c r="N68" s="29" t="n">
        <v>15972.4474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2026-09-18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5.21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3.9778</v>
      </c>
      <c r="J69" s="29" t="n">
        <v>2.7266</v>
      </c>
      <c r="K69" s="29" t="n">
        <v>79.6524</v>
      </c>
      <c r="L69" s="30" t="n">
        <v>31</v>
      </c>
      <c r="M69" s="30" t="n">
        <v>25</v>
      </c>
      <c r="N69" s="29" t="n">
        <v>2.9833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2026-09-30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0.183</v>
      </c>
      <c r="E70" s="28" t="inlineStr"/>
      <c r="F70" s="27" t="inlineStr">
        <is>
          <t>loss_making</t>
        </is>
      </c>
      <c r="G70" s="27" t="inlineStr">
        <is>
          <t>HKD</t>
        </is>
      </c>
      <c r="H70" s="28" t="inlineStr">
        <is>
          <t>重組後股數大增</t>
        </is>
      </c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2026-09-30</t>
        </is>
      </c>
      <c r="AF70" s="28" t="inlineStr">
        <is>
          <t>行情總股本(46,773,506,909)與財報EPS反推(27,175,000,000)差異&gt;25%，已改用反推值 / 缺關鍵科目：capex / 報表幣別 CNY → 交易幣別 HKD，匯率 1.1676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4" t="n">
        <v>92.5878</v>
      </c>
      <c r="E2" s="34" t="n">
        <v>44.8481</v>
      </c>
      <c r="F2" s="34" t="n">
        <v>212.5492</v>
      </c>
      <c r="G2" s="34" t="inlineStr"/>
      <c r="H2" s="34" t="n">
        <v>147.3382</v>
      </c>
      <c r="I2" s="34" t="inlineStr"/>
      <c r="J2" s="34" t="inlineStr"/>
      <c r="K2" s="34" t="n">
        <v>94.6527</v>
      </c>
      <c r="L2" s="34" t="n">
        <v>50.5945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4" t="n">
        <v>3.9778</v>
      </c>
      <c r="E3" s="34" t="inlineStr"/>
      <c r="F3" s="34" t="inlineStr"/>
      <c r="G3" s="34" t="inlineStr"/>
      <c r="H3" s="34" t="n">
        <v>7.7314</v>
      </c>
      <c r="I3" s="34" t="n">
        <v>2.7266</v>
      </c>
      <c r="J3" s="34" t="inlineStr"/>
      <c r="K3" s="34" t="inlineStr"/>
      <c r="L3" s="34" t="n">
        <v>79.6524</v>
      </c>
      <c r="M3" s="34" t="n">
        <v>5.85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0.0586, "淨現金": -63645000000.0}, "damodaran_fcff": {"銷售/資本": 0.8, "g1": 0.0373, "永續g": 0.03, "目標營業利益率": 0.1444, "WACC": 0.0586,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4" t="n">
        <v>0.09660000000000001</v>
      </c>
      <c r="E4" s="34" t="inlineStr"/>
      <c r="F4" s="34" t="inlineStr"/>
      <c r="G4" s="34" t="n">
        <v>0.0895</v>
      </c>
      <c r="H4" s="34" t="inlineStr"/>
      <c r="I4" s="34" t="inlineStr"/>
      <c r="J4" s="34" t="inlineStr"/>
      <c r="K4" s="34" t="n">
        <v>0.1249</v>
      </c>
      <c r="L4" s="34" t="inlineStr"/>
      <c r="M4" s="34" t="n">
        <v>10.24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4" t="n">
        <v>107.2573</v>
      </c>
      <c r="E5" s="34" t="n">
        <v>58.4358</v>
      </c>
      <c r="F5" s="34" t="n">
        <v>147.7494</v>
      </c>
      <c r="G5" s="34" t="n">
        <v>2.5939</v>
      </c>
      <c r="H5" s="34" t="n">
        <v>163.0423</v>
      </c>
      <c r="I5" s="34" t="n">
        <v>69.45959999999999</v>
      </c>
      <c r="J5" s="34" t="n">
        <v>88.2878</v>
      </c>
      <c r="K5" s="34" t="n">
        <v>136.1553</v>
      </c>
      <c r="L5" s="34" t="n">
        <v>111.3598</v>
      </c>
      <c r="M5" s="34" t="n">
        <v>8.16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27.8982}, "graham_formula": {"g(上限10%)": 0.081, "Y公司債": 0.04}, "ncav": {"NCAV/股": 2.5939, "NNWC/股": -33.0907, "net-net買點": 1.7301}, "buffett_oe": {"業主盈餘(TTM,中位3年)": 51588560000.0, "g1": 0.1206, "永續g": 0.021, "門檻報酬r": 0.085, "非營運投資(折70%)": 3239763800.0}, "epv": {"常態營業利益率": 0.1079, "常態NOPAT": 41817135357.0, "WACC": 0.0816, "淨現金": 14272378000.0}, "damodaran_fcff": {"銷售/資本": 2.353, "g1": 0.0987, "永續g": 0.021, "目標營業利益率": 0.1079, "WACC": 0.0816, "終值WACC": 0.089, "有效稅率": 0.1704, "終值佔比": 0.576}, "ri_pb": {"常態ROE": 0.2332, "股權成本r": 0.089, "留存成長g": 0.0518, "合理PB": 4.88}, "ddm": {"DPS": 4.5315,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4" t="n">
        <v>142.5547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62.4443</v>
      </c>
      <c r="J6" s="34" t="n">
        <v>48.75</v>
      </c>
      <c r="K6" s="34" t="n">
        <v>808.3745</v>
      </c>
      <c r="L6" s="34" t="n">
        <v>151.0522</v>
      </c>
      <c r="M6" s="34" t="n">
        <v>7.01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0.0701, "淨現金": 44611454148.0}, "damodaran_fcff": {"銷售/資本": 1.571, "g1": -0.0345, "永續g": 0.021, "目標營業利益率": 0.1603, "WACC": 0.0701,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4" t="n">
        <v>23.0529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10.0701</v>
      </c>
      <c r="J7" s="34" t="n">
        <v>8.278600000000001</v>
      </c>
      <c r="K7" s="34" t="n">
        <v>8.570600000000001</v>
      </c>
      <c r="L7" s="34" t="n">
        <v>13.1089</v>
      </c>
      <c r="M7" s="34" t="n">
        <v>8.33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0.0833, "淨現金": -906634291.0}, "damodaran_fcff": {"銷售/資本": 1.113, "g1": 0.1305, "永續g": 0.021, "目標營業利益率": 0.0665, "WACC": 0.0833,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4" t="n">
        <v>3.8156</v>
      </c>
      <c r="E8" s="34" t="n">
        <v>2.8113</v>
      </c>
      <c r="F8" s="34" t="n">
        <v>3.9507</v>
      </c>
      <c r="G8" s="34" t="n">
        <v>0.4918</v>
      </c>
      <c r="H8" s="34" t="n">
        <v>7.9633</v>
      </c>
      <c r="I8" s="34" t="n">
        <v>2.3993</v>
      </c>
      <c r="J8" s="34" t="n">
        <v>2.2149</v>
      </c>
      <c r="K8" s="34" t="n">
        <v>1.2288</v>
      </c>
      <c r="L8" s="34" t="n">
        <v>2.9094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4" t="n">
        <v>41.2413</v>
      </c>
      <c r="E9" s="34" t="n">
        <v>39.4033</v>
      </c>
      <c r="F9" s="34" t="n">
        <v>52.2924</v>
      </c>
      <c r="G9" s="34" t="n">
        <v>4.0231</v>
      </c>
      <c r="H9" s="34" t="inlineStr"/>
      <c r="I9" s="34" t="n">
        <v>21.9437</v>
      </c>
      <c r="J9" s="34" t="inlineStr"/>
      <c r="K9" s="34" t="n">
        <v>11.4225</v>
      </c>
      <c r="L9" s="34" t="n">
        <v>144.7113</v>
      </c>
      <c r="M9" s="34" t="n">
        <v>6.01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0.0601, "淨現金": -107039386000.0}, "damodaran_fcff": {"銷售/資本": 3.044, "g1": 0.0429, "永續g": 0.03, "目標營業利益率": 0.0217, "WACC": 0.0601,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4" t="n">
        <v>9.363</v>
      </c>
      <c r="E10" s="34" t="n">
        <v>9.2912</v>
      </c>
      <c r="F10" s="34" t="n">
        <v>3.1504</v>
      </c>
      <c r="G10" s="34" t="inlineStr"/>
      <c r="H10" s="34" t="n">
        <v>24.4607</v>
      </c>
      <c r="I10" s="34" t="n">
        <v>6.2928</v>
      </c>
      <c r="J10" s="34" t="n">
        <v>1.2925</v>
      </c>
      <c r="K10" s="34" t="n">
        <v>6.2957</v>
      </c>
      <c r="L10" s="34" t="n">
        <v>3.5486</v>
      </c>
      <c r="M10" s="34" t="n">
        <v>6.31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0.0631, "淨現金": -363061000000.0}, "damodaran_fcff": {"銷售/資本": 2.289, "g1": -0.05, "永續g": 0.03, "目標營業利益率": 0.0234, "WACC": 0.0631,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4" t="n">
        <v>662.4681</v>
      </c>
      <c r="E12" s="34" t="n">
        <v>283.2134</v>
      </c>
      <c r="F12" s="34" t="n">
        <v>470.6019</v>
      </c>
      <c r="G12" s="34" t="inlineStr"/>
      <c r="H12" s="34" t="n">
        <v>687.6401</v>
      </c>
      <c r="I12" s="34" t="n">
        <v>371.1001</v>
      </c>
      <c r="J12" s="34" t="n">
        <v>461.1694</v>
      </c>
      <c r="K12" s="34" t="n">
        <v>3865.9422</v>
      </c>
      <c r="L12" s="34" t="n">
        <v>612.1152</v>
      </c>
      <c r="M12" s="34" t="n">
        <v>9.140000000000001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124.8855}, "graham_formula": {"g(上限10%)": 0.08, "Y公司債": 0.056}, "ncav": {"NCAV/股": 0.0, "NNWC/股": -47.9299, "net-net買點": 0.0}, "buffett_oe": {"業主盈餘(TTM,中位3年)": 202308000000.0, "g1": 0.1058, "永續g": 0.03, "門檻報酬r": 0.0905, "非營運投資(折70%)": 642665100000.0}, "epv": {"常態營業利益率": 0.3189, "常態NOPAT": 206641814252.0, "WACC": 0.0914, "淨現金": -12924000000.0}, "damodaran_fcff": {"銷售/資本": 0.8, "g1": 0.1076, "永續g": 0.03, "目標營業利益率": 0.3189, "WACC": 0.0914,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4" t="n">
        <v>11.4912</v>
      </c>
      <c r="E13" s="34" t="n">
        <v>15.8323</v>
      </c>
      <c r="F13" s="34" t="n">
        <v>17.5179</v>
      </c>
      <c r="G13" s="34" t="inlineStr"/>
      <c r="H13" s="34" t="n">
        <v>12.4222</v>
      </c>
      <c r="I13" s="34" t="n">
        <v>11.5912</v>
      </c>
      <c r="J13" s="34" t="n">
        <v>8.4054</v>
      </c>
      <c r="K13" s="34" t="n">
        <v>5.9415</v>
      </c>
      <c r="L13" s="34" t="n">
        <v>6.2487</v>
      </c>
      <c r="M13" s="34" t="n">
        <v>7.44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0.0744, "淨現金": 30851000000.0}, "damodaran_fcff": {"銷售/資本": 1.149, "g1": 0.0339, "永續g": 0.03, "目標營業利益率": 0.0496, "WACC": 0.0744,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4" t="n">
        <v>11.5825</v>
      </c>
      <c r="E14" s="34" t="n">
        <v>14.8341</v>
      </c>
      <c r="F14" s="34" t="n">
        <v>16.0485</v>
      </c>
      <c r="G14" s="34" t="inlineStr"/>
      <c r="H14" s="34" t="n">
        <v>24.7131</v>
      </c>
      <c r="I14" s="34" t="n">
        <v>5.7963</v>
      </c>
      <c r="J14" s="34" t="n">
        <v>2.1473</v>
      </c>
      <c r="K14" s="34" t="n">
        <v>4.1552</v>
      </c>
      <c r="L14" s="34" t="n">
        <v>8.9823</v>
      </c>
      <c r="M14" s="34" t="n">
        <v>6.36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4" t="n">
        <v>23.0766</v>
      </c>
      <c r="E16" s="34" t="n">
        <v>15.543</v>
      </c>
      <c r="F16" s="34" t="n">
        <v>23.0086</v>
      </c>
      <c r="G16" s="34" t="inlineStr"/>
      <c r="H16" s="34" t="n">
        <v>51.3848</v>
      </c>
      <c r="I16" s="34" t="n">
        <v>14.9245</v>
      </c>
      <c r="J16" s="34" t="n">
        <v>9.997999999999999</v>
      </c>
      <c r="K16" s="34" t="n">
        <v>5.2646</v>
      </c>
      <c r="L16" s="34" t="n">
        <v>15.5986</v>
      </c>
      <c r="M16" s="34" t="n">
        <v>7.78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0.0778, "淨現金": -114814000000.0}, "damodaran_fcff": {"銷售/資本": 1.678, "g1": -0.0401, "永續g": 0.03, "目標營業利益率": 0.0765, "WACC": 0.0778,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4" t="n">
        <v>71.9622</v>
      </c>
      <c r="E17" s="34" t="n">
        <v>37.9004</v>
      </c>
      <c r="F17" s="34" t="n">
        <v>67.98009999999999</v>
      </c>
      <c r="G17" s="34" t="n">
        <v>1.225</v>
      </c>
      <c r="H17" s="34" t="n">
        <v>144.2892</v>
      </c>
      <c r="I17" s="34" t="n">
        <v>41.9281</v>
      </c>
      <c r="J17" s="34" t="n">
        <v>41.4656</v>
      </c>
      <c r="K17" s="34" t="n">
        <v>64.9743</v>
      </c>
      <c r="L17" s="34" t="n">
        <v>161.7431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4" t="n">
        <v>131.1779</v>
      </c>
      <c r="E18" s="34" t="n">
        <v>7.371</v>
      </c>
      <c r="F18" s="34" t="n">
        <v>20.2297</v>
      </c>
      <c r="G18" s="34" t="inlineStr"/>
      <c r="H18" s="34" t="n">
        <v>7.1293</v>
      </c>
      <c r="I18" s="34" t="inlineStr"/>
      <c r="J18" s="34" t="inlineStr"/>
      <c r="K18" s="34" t="n">
        <v>285.9044</v>
      </c>
      <c r="L18" s="34" t="n">
        <v>1.0662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4" t="n">
        <v>89.8815</v>
      </c>
      <c r="E19" s="34" t="n">
        <v>114.3785</v>
      </c>
      <c r="F19" s="34" t="n">
        <v>93.7783</v>
      </c>
      <c r="G19" s="34" t="inlineStr"/>
      <c r="H19" s="34" t="n">
        <v>92.75839999999999</v>
      </c>
      <c r="I19" s="34" t="n">
        <v>87.3331</v>
      </c>
      <c r="J19" s="34" t="n">
        <v>78.0723</v>
      </c>
      <c r="K19" s="34" t="n">
        <v>91.46769999999999</v>
      </c>
      <c r="L19" s="34" t="n">
        <v>84.5765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</v>
      </c>
      <c r="D20" s="34" t="n">
        <v>158.5142</v>
      </c>
      <c r="E20" s="34" t="n">
        <v>33.5832</v>
      </c>
      <c r="F20" s="34" t="n">
        <v>12.3208</v>
      </c>
      <c r="G20" s="34" t="inlineStr"/>
      <c r="H20" s="34" t="n">
        <v>62.331</v>
      </c>
      <c r="I20" s="34" t="n">
        <v>4.6567</v>
      </c>
      <c r="J20" s="34" t="inlineStr"/>
      <c r="K20" s="34" t="n">
        <v>437.392</v>
      </c>
      <c r="L20" s="34" t="n">
        <v>1.1203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4" t="n">
        <v>6.9184</v>
      </c>
      <c r="E21" s="34" t="n">
        <v>19.1313</v>
      </c>
      <c r="F21" s="34" t="n">
        <v>4.7151</v>
      </c>
      <c r="G21" s="34" t="inlineStr"/>
      <c r="H21" s="34" t="inlineStr"/>
      <c r="I21" s="34" t="n">
        <v>10.414</v>
      </c>
      <c r="J21" s="34" t="n">
        <v>0.4889</v>
      </c>
      <c r="K21" s="34" t="n">
        <v>3.7781</v>
      </c>
      <c r="L21" s="34" t="inlineStr"/>
      <c r="M21" s="34" t="n">
        <v>11.37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0.1137, "淨現金": -1228240000.0}, "damodaran_fcff": {"銷售/資本": 0.8, "g1": 0.0864, "永續g": 0.03, "目標營業利益率": 0.119, "WACC": 0.1137,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4" t="n">
        <v>31.6484</v>
      </c>
      <c r="E22" s="34" t="n">
        <v>9.5344</v>
      </c>
      <c r="F22" s="34" t="n">
        <v>19.8496</v>
      </c>
      <c r="G22" s="34" t="inlineStr"/>
      <c r="H22" s="34" t="n">
        <v>74.51000000000001</v>
      </c>
      <c r="I22" s="34" t="n">
        <v>16.8903</v>
      </c>
      <c r="J22" s="34" t="n">
        <v>19.3624</v>
      </c>
      <c r="K22" s="34" t="n">
        <v>11.4711</v>
      </c>
      <c r="L22" s="34" t="n">
        <v>31.9207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4" t="n">
        <v>98.78279999999999</v>
      </c>
      <c r="E23" s="34" t="n">
        <v>5.536</v>
      </c>
      <c r="F23" s="34" t="n">
        <v>13.1486</v>
      </c>
      <c r="G23" s="34" t="inlineStr"/>
      <c r="H23" s="34" t="n">
        <v>6.7742</v>
      </c>
      <c r="I23" s="34" t="inlineStr"/>
      <c r="J23" s="34" t="inlineStr"/>
      <c r="K23" s="34" t="n">
        <v>215.5767</v>
      </c>
      <c r="L23" s="34" t="n">
        <v>0.9495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4" t="n">
        <v>28.82</v>
      </c>
      <c r="E24" s="34" t="n">
        <v>17.4553</v>
      </c>
      <c r="F24" s="34" t="n">
        <v>24.8389</v>
      </c>
      <c r="G24" s="34" t="n">
        <v>1.4283</v>
      </c>
      <c r="H24" s="34" t="n">
        <v>32.0831</v>
      </c>
      <c r="I24" s="34" t="n">
        <v>21.4122</v>
      </c>
      <c r="J24" s="34" t="n">
        <v>26.4961</v>
      </c>
      <c r="K24" s="34" t="n">
        <v>94.3608</v>
      </c>
      <c r="L24" s="34" t="n">
        <v>18.9304</v>
      </c>
      <c r="M24" s="34" t="n">
        <v>9.52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10.4557},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0.0952, "淨現金": 82446791000.0}, "damodaran_fcff": {"銷售/資本": 2.34, "g1": 0.15, "永續g": 0.03, "目標營業利益率": 0.0738, "WACC": 0.0952, "終值WACC": 0.0995, "有效稅率": 0.1618, "終值佔比": 0.69}, "ri_pb": {"常態ROE": 0.1331, "股權成本r": 0.0995, "留存成長g": 0.0945, "合理PB": 7.729}, "ddm": {"DPS": 0.1488,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4" t="n">
        <v>2.3224</v>
      </c>
      <c r="E25" s="34" t="n">
        <v>3.9917</v>
      </c>
      <c r="F25" s="34" t="n">
        <v>1.8164</v>
      </c>
      <c r="G25" s="34" t="inlineStr"/>
      <c r="H25" s="34" t="n">
        <v>1.985</v>
      </c>
      <c r="I25" s="34" t="n">
        <v>1.2115</v>
      </c>
      <c r="J25" s="34" t="inlineStr"/>
      <c r="K25" s="34" t="n">
        <v>3.3764</v>
      </c>
      <c r="L25" s="34" t="n">
        <v>5.0053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4" t="n">
        <v>701.7938</v>
      </c>
      <c r="E27" s="34" t="n">
        <v>41.6342</v>
      </c>
      <c r="F27" s="34" t="n">
        <v>55.8336</v>
      </c>
      <c r="G27" s="34" t="inlineStr"/>
      <c r="H27" s="34" t="n">
        <v>136.9721</v>
      </c>
      <c r="I27" s="34" t="n">
        <v>65.5963</v>
      </c>
      <c r="J27" s="34" t="inlineStr"/>
      <c r="K27" s="34" t="n">
        <v>1668.8806</v>
      </c>
      <c r="L27" s="34" t="n">
        <v>45.024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4" t="n">
        <v>103.3438</v>
      </c>
      <c r="E28" s="34" t="n">
        <v>55.5553</v>
      </c>
      <c r="F28" s="34" t="n">
        <v>95.1721</v>
      </c>
      <c r="G28" s="34" t="n">
        <v>15.7897</v>
      </c>
      <c r="H28" s="34" t="n">
        <v>112.1653</v>
      </c>
      <c r="I28" s="34" t="n">
        <v>66.5496</v>
      </c>
      <c r="J28" s="34" t="n">
        <v>79.3056</v>
      </c>
      <c r="K28" s="34" t="n">
        <v>469.8579</v>
      </c>
      <c r="L28" s="34" t="n">
        <v>242.4903</v>
      </c>
      <c r="M28" s="34" t="n">
        <v>9.85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0.0985, "淨現金": 38088875000.0}, "damodaran_fcff": {"銷售/資本": 1.184, "g1": 0.0492, "永續g": 0.03, "目標營業利益率": 0.2922, "WACC": 0.0985,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4" t="n">
        <v>13.2826</v>
      </c>
      <c r="E29" s="34" t="n">
        <v>4.9236</v>
      </c>
      <c r="F29" s="34" t="n">
        <v>10.882</v>
      </c>
      <c r="G29" s="34" t="n">
        <v>1.962</v>
      </c>
      <c r="H29" s="34" t="n">
        <v>6.8815</v>
      </c>
      <c r="I29" s="34" t="n">
        <v>7.778</v>
      </c>
      <c r="J29" s="34" t="n">
        <v>11.2656</v>
      </c>
      <c r="K29" s="34" t="n">
        <v>103.0326</v>
      </c>
      <c r="L29" s="34" t="n">
        <v>22.9562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4" t="n">
        <v>84.5301</v>
      </c>
      <c r="E30" s="34" t="n">
        <v>83.5091</v>
      </c>
      <c r="F30" s="34" t="n">
        <v>41.7192</v>
      </c>
      <c r="G30" s="34" t="inlineStr"/>
      <c r="H30" s="34" t="n">
        <v>55.6917</v>
      </c>
      <c r="I30" s="34" t="n">
        <v>114.9492</v>
      </c>
      <c r="J30" s="34" t="n">
        <v>84.6765</v>
      </c>
      <c r="K30" s="34" t="n">
        <v>166.422</v>
      </c>
      <c r="L30" s="34" t="n">
        <v>106.3471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4" t="n">
        <v>14.0036</v>
      </c>
      <c r="E31" s="34" t="n">
        <v>43.2928</v>
      </c>
      <c r="F31" s="34" t="n">
        <v>58.306</v>
      </c>
      <c r="G31" s="34" t="n">
        <v>2.1474</v>
      </c>
      <c r="H31" s="34" t="n">
        <v>127.2626</v>
      </c>
      <c r="I31" s="34" t="inlineStr"/>
      <c r="J31" s="34" t="inlineStr"/>
      <c r="K31" s="34" t="n">
        <v>4.7988</v>
      </c>
      <c r="L31" s="34" t="inlineStr"/>
      <c r="M31" s="34" t="n">
        <v>12.2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4" t="n">
        <v>384.0527</v>
      </c>
      <c r="E32" s="34" t="n">
        <v>170.6496</v>
      </c>
      <c r="F32" s="34" t="n">
        <v>154.0423</v>
      </c>
      <c r="G32" s="34" t="n">
        <v>8.5677</v>
      </c>
      <c r="H32" s="34" t="n">
        <v>310.111</v>
      </c>
      <c r="I32" s="34" t="n">
        <v>216.3241</v>
      </c>
      <c r="J32" s="34" t="n">
        <v>267.4879</v>
      </c>
      <c r="K32" s="34" t="n">
        <v>2208.1674</v>
      </c>
      <c r="L32" s="34" t="n">
        <v>1182.3043</v>
      </c>
      <c r="M32" s="34" t="n">
        <v>9.210000000000001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0.0921, "淨現金": 120569062000.0}, "damodaran_fcff": {"銷售/資本": 2.016, "g1": 0.0884, "永續g": 0.03, "目標營業利益率": 0.1491, "WACC": 0.0921,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4" t="n">
        <v>590.304</v>
      </c>
      <c r="E33" s="34" t="n">
        <v>32.3377</v>
      </c>
      <c r="F33" s="34" t="n">
        <v>132.4549</v>
      </c>
      <c r="G33" s="34" t="inlineStr"/>
      <c r="H33" s="34" t="n">
        <v>35.8055</v>
      </c>
      <c r="I33" s="34" t="inlineStr"/>
      <c r="J33" s="34" t="inlineStr"/>
      <c r="K33" s="34" t="n">
        <v>1273.6187</v>
      </c>
      <c r="L33" s="34" t="n">
        <v>9.698600000000001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4" t="n">
        <v>8.3293</v>
      </c>
      <c r="E34" s="34" t="n">
        <v>3.8847</v>
      </c>
      <c r="F34" s="34" t="n">
        <v>8.257</v>
      </c>
      <c r="G34" s="34" t="n">
        <v>1.0855</v>
      </c>
      <c r="H34" s="34" t="n">
        <v>14.7786</v>
      </c>
      <c r="I34" s="34" t="n">
        <v>4.441</v>
      </c>
      <c r="J34" s="34" t="n">
        <v>7.0855</v>
      </c>
      <c r="K34" s="34" t="n">
        <v>3.6704</v>
      </c>
      <c r="L34" s="34" t="n">
        <v>6.69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4" t="n">
        <v>12.2453</v>
      </c>
      <c r="E35" s="34" t="n">
        <v>14.9621</v>
      </c>
      <c r="F35" s="34" t="n">
        <v>9.710800000000001</v>
      </c>
      <c r="G35" s="34" t="inlineStr"/>
      <c r="H35" s="34" t="n">
        <v>23.7039</v>
      </c>
      <c r="I35" s="34" t="n">
        <v>8.0604</v>
      </c>
      <c r="J35" s="34" t="n">
        <v>6.6442</v>
      </c>
      <c r="K35" s="34" t="n">
        <v>6.5294</v>
      </c>
      <c r="L35" s="34" t="n">
        <v>6.2196</v>
      </c>
      <c r="M35" s="34" t="n">
        <v>10.14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0.1014, "淨現金": -3912000000.0}, "damodaran_fcff": {"銷售/資本": 1.24, "g1": 0.15, "永續g": 0.03, "目標營業利益率": 0.0675, "WACC": 0.1014,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4" t="n">
        <v>136.5663</v>
      </c>
      <c r="E36" s="34" t="n">
        <v>135.4251</v>
      </c>
      <c r="F36" s="34" t="n">
        <v>59.9665</v>
      </c>
      <c r="G36" s="34" t="inlineStr"/>
      <c r="H36" s="34" t="n">
        <v>246.614</v>
      </c>
      <c r="I36" s="34" t="n">
        <v>129.5677</v>
      </c>
      <c r="J36" s="34" t="n">
        <v>98.7497</v>
      </c>
      <c r="K36" s="34" t="n">
        <v>54.6179</v>
      </c>
      <c r="L36" s="34" t="n">
        <v>55.2814</v>
      </c>
      <c r="M36" s="34" t="n">
        <v>10.77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0.1077, "淨現金": 116354000000.0}, "damodaran_fcff": {"銷售/資本": 4.0, "g1": 0.0776, "永續g": 0.03, "目標營業利益率": 0.0189, "WACC": 0.1077,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4" t="n">
        <v>432.2191</v>
      </c>
      <c r="E37" s="34" t="n">
        <v>429.7347</v>
      </c>
      <c r="F37" s="34" t="n">
        <v>682.4156</v>
      </c>
      <c r="G37" s="34" t="n">
        <v>43.7254</v>
      </c>
      <c r="H37" s="34" t="n">
        <v>574.6441</v>
      </c>
      <c r="I37" s="34" t="n">
        <v>323.3715</v>
      </c>
      <c r="J37" s="34" t="n">
        <v>428.6584</v>
      </c>
      <c r="K37" s="34" t="n">
        <v>40.399</v>
      </c>
      <c r="L37" s="34" t="n">
        <v>252.8537</v>
      </c>
      <c r="M37" s="34" t="n">
        <v>9.02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0.0902, "淨現金": 49645000000.0}, "damodaran_fcff": {"銷售/資本": 0.8, "g1": 0.15, "永續g": 0.03, "目標營業利益率": 0.2756, "WACC": 0.0902,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4" t="n">
        <v>68.3373</v>
      </c>
      <c r="E38" s="34" t="n">
        <v>96.3473</v>
      </c>
      <c r="F38" s="34" t="n">
        <v>44.4485</v>
      </c>
      <c r="G38" s="34" t="inlineStr"/>
      <c r="H38" s="34" t="n">
        <v>85.9385</v>
      </c>
      <c r="I38" s="34" t="n">
        <v>64.1514</v>
      </c>
      <c r="J38" s="34" t="n">
        <v>61.7057</v>
      </c>
      <c r="K38" s="34" t="n">
        <v>58.7225</v>
      </c>
      <c r="L38" s="34" t="n">
        <v>33.7988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0.0928, "淨現金": 183360000000.0}, "damodaran_fcff": {"銷售/資本": 1.197, "g1": 0.0562, "永續g": 0.03, "目標營業利益率": 0.1155, "WACC": 0.0928,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4" t="n">
        <v>301.6327</v>
      </c>
      <c r="E39" s="34" t="n">
        <v>121.8858</v>
      </c>
      <c r="F39" s="34" t="n">
        <v>242.6367</v>
      </c>
      <c r="G39" s="34" t="n">
        <v>47.9266</v>
      </c>
      <c r="H39" s="34" t="n">
        <v>380.6795</v>
      </c>
      <c r="I39" s="34" t="n">
        <v>154.1478</v>
      </c>
      <c r="J39" s="34" t="n">
        <v>185.6159</v>
      </c>
      <c r="K39" s="34" t="n">
        <v>1415.052</v>
      </c>
      <c r="L39" s="34" t="n">
        <v>534.5773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4" t="n">
        <v>126.3819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67.58410000000001</v>
      </c>
      <c r="J40" s="34" t="n">
        <v>108.1183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4" t="n">
        <v>200.3017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116.6319</v>
      </c>
      <c r="J41" s="34" t="n">
        <v>134.5589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4" t="n">
        <v>50.5538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46.6277</v>
      </c>
      <c r="J43" s="34" t="n">
        <v>50.2381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0.088, "淨現金": 1080366024.0}, "damodaran_fcff": {"銷售/資本": 0.8, "g1": 0.0117, "永續g": 0.021, "目標營業利益率": 0.3374, "WACC": 0.088,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4" t="n">
        <v>1186.8353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838.7876</v>
      </c>
      <c r="J44" s="34" t="n">
        <v>1283.6285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4" t="n">
        <v>20.562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15.5747</v>
      </c>
      <c r="J45" s="34" t="n">
        <v>12.7731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4" t="n">
        <v>35.7728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25.6275</v>
      </c>
      <c r="J46" s="34" t="n">
        <v>36.6914</v>
      </c>
      <c r="K46" s="34" t="n">
        <v>164.8877</v>
      </c>
      <c r="L46" s="34" t="n">
        <v>130.8639</v>
      </c>
      <c r="M46" s="34" t="n">
        <v>8.34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0.0834, "淨現金": -7517740000.0}, "damodaran_fcff": {"銷售/資本": 4.0, "g1": 0.15, "永續g": 0.021, "目標營業利益率": 0.0455, "WACC": 0.0834,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4" t="n">
        <v>100.9536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56.5185</v>
      </c>
      <c r="J47" s="34" t="n">
        <v>92.6217</v>
      </c>
      <c r="K47" s="34" t="n">
        <v>442.9869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4" t="n">
        <v>113.1491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61.1403</v>
      </c>
      <c r="J48" s="34" t="n">
        <v>108.9458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4" t="n">
        <v>79.0137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72.86320000000001</v>
      </c>
      <c r="J49" s="34" t="n">
        <v>119.6889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0.1022, "淨現金": 8863734876.0}, "damodaran_fcff": {"銷售/資本": 0.8, "g1": 0.15, "永續g": 0.021, "目標營業利益率": 0.2664, "WACC": 0.1022,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inlineStr">
        <is>
          <t>HKD</t>
        </is>
      </c>
      <c r="E2" s="24" t="n">
        <v>46.2939</v>
      </c>
      <c r="F2" s="24" t="n">
        <v>69.4409</v>
      </c>
      <c r="G2" s="24" t="n">
        <v>106.476</v>
      </c>
      <c r="H2" s="24" t="n">
        <v>138.8817</v>
      </c>
      <c r="I2" s="24" t="n">
        <v>138.8817</v>
      </c>
      <c r="J2" s="26" t="inlineStr">
        <is>
          <t>非常昂貴</t>
        </is>
      </c>
      <c r="K2" s="24" t="n">
        <v>1.6903</v>
      </c>
      <c r="L2" s="24" t="n">
        <v>69.4409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inlineStr">
        <is>
          <t>HKD</t>
        </is>
      </c>
      <c r="E3" s="29" t="n">
        <v>1.9889</v>
      </c>
      <c r="F3" s="29" t="n">
        <v>2.9833</v>
      </c>
      <c r="G3" s="29" t="n">
        <v>4.5744</v>
      </c>
      <c r="H3" s="29" t="n">
        <v>5.9666</v>
      </c>
      <c r="I3" s="29" t="n">
        <v>5.9666</v>
      </c>
      <c r="J3" s="31" t="inlineStr">
        <is>
          <t>無法估值</t>
        </is>
      </c>
      <c r="K3" s="29" t="n">
        <v>1.3098</v>
      </c>
      <c r="L3" s="29" t="n">
        <v>2.9833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inlineStr">
        <is>
          <t>HKD</t>
        </is>
      </c>
      <c r="E4" s="24" t="n">
        <v>0.0483</v>
      </c>
      <c r="F4" s="24" t="n">
        <v>0.07240000000000001</v>
      </c>
      <c r="G4" s="24" t="n">
        <v>0.111</v>
      </c>
      <c r="H4" s="24" t="n">
        <v>0.1448</v>
      </c>
      <c r="I4" s="24" t="n">
        <v>0.1448</v>
      </c>
      <c r="J4" s="26" t="inlineStr">
        <is>
          <t>非常昂貴</t>
        </is>
      </c>
      <c r="K4" s="24" t="n">
        <v>12.6873</v>
      </c>
      <c r="L4" s="24" t="n">
        <v>0.07240000000000001</v>
      </c>
    </row>
    <row r="5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inlineStr">
        <is>
          <t>CNY</t>
        </is>
      </c>
      <c r="E5" s="9" t="n">
        <v>53.6287</v>
      </c>
      <c r="F5" s="9" t="n">
        <v>80.443</v>
      </c>
      <c r="G5" s="9" t="n">
        <v>123.3459</v>
      </c>
      <c r="H5" s="9" t="n">
        <v>160.886</v>
      </c>
      <c r="I5" s="9" t="n">
        <v>160.886</v>
      </c>
      <c r="J5" s="11" t="inlineStr">
        <is>
          <t>便宜</t>
        </is>
      </c>
      <c r="K5" s="9" t="n">
        <v>0.7477</v>
      </c>
      <c r="L5" s="9" t="n">
        <v>80.443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inlineStr">
        <is>
          <t>CNY</t>
        </is>
      </c>
      <c r="E6" s="4" t="n">
        <v>71.2774</v>
      </c>
      <c r="F6" s="4" t="n">
        <v>106.9161</v>
      </c>
      <c r="G6" s="4" t="n">
        <v>163.938</v>
      </c>
      <c r="H6" s="4" t="n">
        <v>213.8321</v>
      </c>
      <c r="I6" s="4" t="n">
        <v>213.8321</v>
      </c>
      <c r="J6" s="6" t="inlineStr">
        <is>
          <t>非常便宜</t>
        </is>
      </c>
      <c r="K6" s="4" t="n">
        <v>0.2673</v>
      </c>
      <c r="L6" s="4" t="n">
        <v>106.9161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inlineStr">
        <is>
          <t>CNY</t>
        </is>
      </c>
      <c r="E7" s="19" t="n">
        <v>11.5265</v>
      </c>
      <c r="F7" s="19" t="n">
        <v>17.2897</v>
      </c>
      <c r="G7" s="19" t="n">
        <v>26.5109</v>
      </c>
      <c r="H7" s="19" t="n">
        <v>34.5794</v>
      </c>
      <c r="I7" s="19" t="n">
        <v>34.5794</v>
      </c>
      <c r="J7" s="21" t="inlineStr">
        <is>
          <t>昂貴</t>
        </is>
      </c>
      <c r="K7" s="19" t="n">
        <v>1.3282</v>
      </c>
      <c r="L7" s="19" t="n">
        <v>17.2897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inlineStr">
        <is>
          <t>HKD</t>
        </is>
      </c>
      <c r="E8" s="4" t="n">
        <v>1.9078</v>
      </c>
      <c r="F8" s="4" t="n">
        <v>2.8617</v>
      </c>
      <c r="G8" s="4" t="n">
        <v>4.3879</v>
      </c>
      <c r="H8" s="4" t="n">
        <v>5.7234</v>
      </c>
      <c r="I8" s="4" t="n">
        <v>5.7234</v>
      </c>
      <c r="J8" s="6" t="inlineStr">
        <is>
          <t>非常便宜</t>
        </is>
      </c>
      <c r="K8" s="4" t="n">
        <v>0.3211</v>
      </c>
      <c r="L8" s="4" t="n">
        <v>2.8617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inlineStr">
        <is>
          <t>HKD</t>
        </is>
      </c>
      <c r="E9" s="14" t="n">
        <v>20.6206</v>
      </c>
      <c r="F9" s="14" t="n">
        <v>30.931</v>
      </c>
      <c r="G9" s="14" t="n">
        <v>47.4275</v>
      </c>
      <c r="H9" s="14" t="n">
        <v>61.8619</v>
      </c>
      <c r="I9" s="14" t="n">
        <v>61.8619</v>
      </c>
      <c r="J9" s="16" t="inlineStr">
        <is>
          <t>合理</t>
        </is>
      </c>
      <c r="K9" s="14" t="n">
        <v>0.7973</v>
      </c>
      <c r="L9" s="14" t="n">
        <v>26.8068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inlineStr">
        <is>
          <t>HKD</t>
        </is>
      </c>
      <c r="E10" s="4" t="n">
        <v>4.6815</v>
      </c>
      <c r="F10" s="4" t="n">
        <v>7.0222</v>
      </c>
      <c r="G10" s="4" t="n">
        <v>10.7674</v>
      </c>
      <c r="H10" s="4" t="n">
        <v>14.0445</v>
      </c>
      <c r="I10" s="4" t="n">
        <v>14.0445</v>
      </c>
      <c r="J10" s="6" t="inlineStr">
        <is>
          <t>非常便宜</t>
        </is>
      </c>
      <c r="K10" s="4" t="n">
        <v>0.4705</v>
      </c>
      <c r="L10" s="4" t="n">
        <v>7.0222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2.4604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inlineStr">
        <is>
          <t>HKD</t>
        </is>
      </c>
      <c r="E12" s="9" t="n">
        <v>331.234</v>
      </c>
      <c r="F12" s="9" t="n">
        <v>496.851</v>
      </c>
      <c r="G12" s="9" t="n">
        <v>761.8383</v>
      </c>
      <c r="H12" s="9" t="n">
        <v>993.7021</v>
      </c>
      <c r="I12" s="9" t="n">
        <v>993.7021</v>
      </c>
      <c r="J12" s="11" t="inlineStr">
        <is>
          <t>便宜</t>
        </is>
      </c>
      <c r="K12" s="9" t="n">
        <v>0.6424</v>
      </c>
      <c r="L12" s="9" t="n">
        <v>496.851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inlineStr">
        <is>
          <t>HKD</t>
        </is>
      </c>
      <c r="E13" s="4" t="n">
        <v>5.7456</v>
      </c>
      <c r="F13" s="4" t="n">
        <v>8.618399999999999</v>
      </c>
      <c r="G13" s="4" t="n">
        <v>13.2149</v>
      </c>
      <c r="H13" s="4" t="n">
        <v>17.2368</v>
      </c>
      <c r="I13" s="4" t="n">
        <v>17.2368</v>
      </c>
      <c r="J13" s="6" t="inlineStr">
        <is>
          <t>非常便宜</t>
        </is>
      </c>
      <c r="K13" s="4" t="n">
        <v>0.4765</v>
      </c>
      <c r="L13" s="4" t="n">
        <v>8.618399999999999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inlineStr">
        <is>
          <t>HKD</t>
        </is>
      </c>
      <c r="E14" s="14" t="n">
        <v>5.7913</v>
      </c>
      <c r="F14" s="14" t="n">
        <v>8.6869</v>
      </c>
      <c r="G14" s="14" t="n">
        <v>13.3199</v>
      </c>
      <c r="H14" s="14" t="n">
        <v>17.3738</v>
      </c>
      <c r="I14" s="14" t="n">
        <v>17.3738</v>
      </c>
      <c r="J14" s="16" t="inlineStr">
        <is>
          <t>合理</t>
        </is>
      </c>
      <c r="K14" s="14" t="n">
        <v>0.7779</v>
      </c>
      <c r="L14" s="14" t="n">
        <v>8.6869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0.3653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inlineStr">
        <is>
          <t>HKD</t>
        </is>
      </c>
      <c r="E16" s="4" t="n">
        <v>11.5383</v>
      </c>
      <c r="F16" s="4" t="n">
        <v>17.3075</v>
      </c>
      <c r="G16" s="4" t="n">
        <v>26.5381</v>
      </c>
      <c r="H16" s="4" t="n">
        <v>34.6149</v>
      </c>
      <c r="I16" s="4" t="n">
        <v>34.6149</v>
      </c>
      <c r="J16" s="6" t="inlineStr">
        <is>
          <t>非常便宜</t>
        </is>
      </c>
      <c r="K16" s="4" t="n">
        <v>0.4184</v>
      </c>
      <c r="L16" s="4" t="n">
        <v>17.3075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inlineStr">
        <is>
          <t>HKD</t>
        </is>
      </c>
      <c r="E17" s="4" t="n">
        <v>35.9811</v>
      </c>
      <c r="F17" s="4" t="n">
        <v>53.9716</v>
      </c>
      <c r="G17" s="4" t="n">
        <v>82.7565</v>
      </c>
      <c r="H17" s="4" t="n">
        <v>107.9433</v>
      </c>
      <c r="I17" s="4" t="n">
        <v>107.9433</v>
      </c>
      <c r="J17" s="6" t="inlineStr">
        <is>
          <t>非常便宜</t>
        </is>
      </c>
      <c r="K17" s="4" t="n">
        <v>0.3291</v>
      </c>
      <c r="L17" s="4" t="n">
        <v>53.9716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inlineStr">
        <is>
          <t>HKD</t>
        </is>
      </c>
      <c r="E18" s="4" t="n">
        <v>65.5889</v>
      </c>
      <c r="F18" s="4" t="n">
        <v>98.38339999999999</v>
      </c>
      <c r="G18" s="4" t="n">
        <v>150.8545</v>
      </c>
      <c r="H18" s="4" t="n">
        <v>196.7668</v>
      </c>
      <c r="I18" s="4" t="n">
        <v>196.7668</v>
      </c>
      <c r="J18" s="6" t="inlineStr">
        <is>
          <t>非常便宜</t>
        </is>
      </c>
      <c r="K18" s="4" t="n">
        <v>0.07389999999999999</v>
      </c>
      <c r="L18" s="4" t="n">
        <v>98.38339999999999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inlineStr">
        <is>
          <t>HKD</t>
        </is>
      </c>
      <c r="E19" s="14" t="n">
        <v>44.9408</v>
      </c>
      <c r="F19" s="14" t="n">
        <v>67.4111</v>
      </c>
      <c r="G19" s="14" t="n">
        <v>103.3637</v>
      </c>
      <c r="H19" s="14" t="n">
        <v>134.8223</v>
      </c>
      <c r="I19" s="14" t="n">
        <v>134.8223</v>
      </c>
      <c r="J19" s="16" t="inlineStr">
        <is>
          <t>合理</t>
        </is>
      </c>
      <c r="K19" s="14" t="n">
        <v>0.8778</v>
      </c>
      <c r="L19" s="14" t="n">
        <v>67.4111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5.4</v>
      </c>
      <c r="D20" s="27" t="inlineStr">
        <is>
          <t>HKD</t>
        </is>
      </c>
      <c r="E20" s="29" t="n">
        <v>79.25709999999999</v>
      </c>
      <c r="F20" s="29" t="n">
        <v>118.8856</v>
      </c>
      <c r="G20" s="29" t="n">
        <v>182.2913</v>
      </c>
      <c r="H20" s="29" t="n">
        <v>237.7712</v>
      </c>
      <c r="I20" s="29" t="n">
        <v>237.7712</v>
      </c>
      <c r="J20" s="31" t="inlineStr">
        <is>
          <t>無法估值</t>
        </is>
      </c>
      <c r="K20" s="29" t="n">
        <v>0.0341</v>
      </c>
      <c r="L20" s="29" t="n">
        <v>103.0342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inlineStr">
        <is>
          <t>HKD</t>
        </is>
      </c>
      <c r="E21" s="24" t="n">
        <v>3.4592</v>
      </c>
      <c r="F21" s="24" t="n">
        <v>5.1888</v>
      </c>
      <c r="G21" s="24" t="n">
        <v>7.9562</v>
      </c>
      <c r="H21" s="24" t="n">
        <v>10.3776</v>
      </c>
      <c r="I21" s="24" t="n">
        <v>10.3776</v>
      </c>
      <c r="J21" s="26" t="inlineStr">
        <is>
          <t>非常昂貴</t>
        </is>
      </c>
      <c r="K21" s="24" t="n">
        <v>8.838800000000001</v>
      </c>
      <c r="L21" s="24" t="n">
        <v>5.1888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inlineStr">
        <is>
          <t>HKD</t>
        </is>
      </c>
      <c r="E22" s="14" t="n">
        <v>15.8242</v>
      </c>
      <c r="F22" s="14" t="n">
        <v>23.7363</v>
      </c>
      <c r="G22" s="14" t="n">
        <v>36.3957</v>
      </c>
      <c r="H22" s="14" t="n">
        <v>47.4726</v>
      </c>
      <c r="I22" s="14" t="n">
        <v>47.4726</v>
      </c>
      <c r="J22" s="16" t="inlineStr">
        <is>
          <t>合理</t>
        </is>
      </c>
      <c r="K22" s="14" t="n">
        <v>1.1147</v>
      </c>
      <c r="L22" s="14" t="n">
        <v>23.7363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inlineStr">
        <is>
          <t>HKD</t>
        </is>
      </c>
      <c r="E23" s="4" t="n">
        <v>49.3914</v>
      </c>
      <c r="F23" s="4" t="n">
        <v>74.08710000000001</v>
      </c>
      <c r="G23" s="4" t="n">
        <v>113.6003</v>
      </c>
      <c r="H23" s="4" t="n">
        <v>148.1742</v>
      </c>
      <c r="I23" s="4" t="n">
        <v>148.1742</v>
      </c>
      <c r="J23" s="6" t="inlineStr">
        <is>
          <t>非常便宜</t>
        </is>
      </c>
      <c r="K23" s="4" t="n">
        <v>0.0775</v>
      </c>
      <c r="L23" s="4" t="n">
        <v>74.08710000000001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inlineStr">
        <is>
          <t>HKD</t>
        </is>
      </c>
      <c r="E24" s="14" t="n">
        <v>14.41</v>
      </c>
      <c r="F24" s="14" t="n">
        <v>21.615</v>
      </c>
      <c r="G24" s="14" t="n">
        <v>33.1429</v>
      </c>
      <c r="H24" s="14" t="n">
        <v>43.2299</v>
      </c>
      <c r="I24" s="14" t="n">
        <v>43.2299</v>
      </c>
      <c r="J24" s="16" t="inlineStr">
        <is>
          <t>合理</t>
        </is>
      </c>
      <c r="K24" s="14" t="n">
        <v>0.8653999999999999</v>
      </c>
      <c r="L24" s="14" t="n">
        <v>21.615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inlineStr">
        <is>
          <t>HKD</t>
        </is>
      </c>
      <c r="E25" s="19" t="n">
        <v>1.1612</v>
      </c>
      <c r="F25" s="19" t="n">
        <v>1.7418</v>
      </c>
      <c r="G25" s="19" t="n">
        <v>2.6708</v>
      </c>
      <c r="H25" s="19" t="n">
        <v>3.4836</v>
      </c>
      <c r="I25" s="19" t="n">
        <v>3.4836</v>
      </c>
      <c r="J25" s="21" t="inlineStr">
        <is>
          <t>昂貴</t>
        </is>
      </c>
      <c r="K25" s="19" t="n">
        <v>1.309</v>
      </c>
      <c r="L25" s="19" t="n">
        <v>1.7418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inlineStr">
        <is>
          <t>HKD</t>
        </is>
      </c>
      <c r="E27" s="4" t="n">
        <v>350.8969</v>
      </c>
      <c r="F27" s="4" t="n">
        <v>526.3453</v>
      </c>
      <c r="G27" s="4" t="n">
        <v>807.0628</v>
      </c>
      <c r="H27" s="4" t="n">
        <v>1052.6906</v>
      </c>
      <c r="I27" s="4" t="n">
        <v>1052.6906</v>
      </c>
      <c r="J27" s="6" t="inlineStr">
        <is>
          <t>非常便宜</t>
        </is>
      </c>
      <c r="K27" s="4" t="n">
        <v>0.075</v>
      </c>
      <c r="L27" s="4" t="n">
        <v>526.3453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inlineStr">
        <is>
          <t>HKD</t>
        </is>
      </c>
      <c r="E28" s="24" t="n">
        <v>51.6719</v>
      </c>
      <c r="F28" s="24" t="n">
        <v>77.50790000000001</v>
      </c>
      <c r="G28" s="24" t="n">
        <v>118.8454</v>
      </c>
      <c r="H28" s="24" t="n">
        <v>155.0158</v>
      </c>
      <c r="I28" s="24" t="n">
        <v>155.0158</v>
      </c>
      <c r="J28" s="26" t="inlineStr">
        <is>
          <t>非常昂貴</t>
        </is>
      </c>
      <c r="K28" s="24" t="n">
        <v>2.0262</v>
      </c>
      <c r="L28" s="24" t="n">
        <v>77.50790000000001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inlineStr">
        <is>
          <t>HKD</t>
        </is>
      </c>
      <c r="E29" s="4" t="n">
        <v>6.6413</v>
      </c>
      <c r="F29" s="4" t="n">
        <v>9.962</v>
      </c>
      <c r="G29" s="4" t="n">
        <v>15.275</v>
      </c>
      <c r="H29" s="4" t="n">
        <v>19.9239</v>
      </c>
      <c r="I29" s="4" t="n">
        <v>19.9239</v>
      </c>
      <c r="J29" s="6" t="inlineStr">
        <is>
          <t>非常便宜</t>
        </is>
      </c>
      <c r="K29" s="4" t="n">
        <v>0.2469</v>
      </c>
      <c r="L29" s="4" t="n">
        <v>9.962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inlineStr">
        <is>
          <t>HKD</t>
        </is>
      </c>
      <c r="E30" s="9" t="n">
        <v>42.265</v>
      </c>
      <c r="F30" s="9" t="n">
        <v>63.3976</v>
      </c>
      <c r="G30" s="9" t="n">
        <v>97.20959999999999</v>
      </c>
      <c r="H30" s="9" t="n">
        <v>126.7951</v>
      </c>
      <c r="I30" s="9" t="n">
        <v>126.7951</v>
      </c>
      <c r="J30" s="11" t="inlineStr">
        <is>
          <t>便宜</t>
        </is>
      </c>
      <c r="K30" s="9" t="n">
        <v>0.5716</v>
      </c>
      <c r="L30" s="9" t="n">
        <v>63.3976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inlineStr">
        <is>
          <t>HKD</t>
        </is>
      </c>
      <c r="E31" s="24" t="n">
        <v>7.0018</v>
      </c>
      <c r="F31" s="24" t="n">
        <v>10.5027</v>
      </c>
      <c r="G31" s="24" t="n">
        <v>16.1041</v>
      </c>
      <c r="H31" s="24" t="n">
        <v>21.0054</v>
      </c>
      <c r="I31" s="24" t="n">
        <v>21.0054</v>
      </c>
      <c r="J31" s="26" t="inlineStr">
        <is>
          <t>非常昂貴</t>
        </is>
      </c>
      <c r="K31" s="24" t="n">
        <v>5.013</v>
      </c>
      <c r="L31" s="24" t="n">
        <v>10.5027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inlineStr">
        <is>
          <t>HKD</t>
        </is>
      </c>
      <c r="E32" s="19" t="n">
        <v>192.0263</v>
      </c>
      <c r="F32" s="19" t="n">
        <v>288.0395</v>
      </c>
      <c r="G32" s="19" t="n">
        <v>441.6606</v>
      </c>
      <c r="H32" s="19" t="n">
        <v>576.079</v>
      </c>
      <c r="I32" s="19" t="n">
        <v>576.079</v>
      </c>
      <c r="J32" s="21" t="inlineStr">
        <is>
          <t>昂貴</t>
        </is>
      </c>
      <c r="K32" s="19" t="n">
        <v>1.2545</v>
      </c>
      <c r="L32" s="19" t="n">
        <v>288.0395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inlineStr">
        <is>
          <t>HKD</t>
        </is>
      </c>
      <c r="E33" s="4" t="n">
        <v>295.152</v>
      </c>
      <c r="F33" s="4" t="n">
        <v>442.728</v>
      </c>
      <c r="G33" s="4" t="n">
        <v>678.8496</v>
      </c>
      <c r="H33" s="4" t="n">
        <v>885.456</v>
      </c>
      <c r="I33" s="4" t="n">
        <v>885.456</v>
      </c>
      <c r="J33" s="6" t="inlineStr">
        <is>
          <t>非常便宜</t>
        </is>
      </c>
      <c r="K33" s="4" t="n">
        <v>0.08699999999999999</v>
      </c>
      <c r="L33" s="4" t="n">
        <v>442.728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inlineStr">
        <is>
          <t>HKD</t>
        </is>
      </c>
      <c r="E34" s="4" t="n">
        <v>4.1646</v>
      </c>
      <c r="F34" s="4" t="n">
        <v>6.2469</v>
      </c>
      <c r="G34" s="4" t="n">
        <v>9.5786</v>
      </c>
      <c r="H34" s="4" t="n">
        <v>12.4939</v>
      </c>
      <c r="I34" s="4" t="n">
        <v>12.4939</v>
      </c>
      <c r="J34" s="6" t="inlineStr">
        <is>
          <t>非常便宜</t>
        </is>
      </c>
      <c r="K34" s="4" t="n">
        <v>0.4736</v>
      </c>
      <c r="L34" s="4" t="n">
        <v>6.2469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inlineStr">
        <is>
          <t>HKD</t>
        </is>
      </c>
      <c r="E35" s="24" t="n">
        <v>6.1226</v>
      </c>
      <c r="F35" s="24" t="n">
        <v>9.1839</v>
      </c>
      <c r="G35" s="24" t="n">
        <v>14.0821</v>
      </c>
      <c r="H35" s="24" t="n">
        <v>18.3679</v>
      </c>
      <c r="I35" s="24" t="n">
        <v>18.3679</v>
      </c>
      <c r="J35" s="26" t="inlineStr">
        <is>
          <t>非常昂貴</t>
        </is>
      </c>
      <c r="K35" s="24" t="n">
        <v>1.7754</v>
      </c>
      <c r="L35" s="24" t="n">
        <v>9.1839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inlineStr">
        <is>
          <t>HKD</t>
        </is>
      </c>
      <c r="E36" s="14" t="n">
        <v>68.2831</v>
      </c>
      <c r="F36" s="14" t="n">
        <v>102.4247</v>
      </c>
      <c r="G36" s="14" t="n">
        <v>157.0512</v>
      </c>
      <c r="H36" s="14" t="n">
        <v>204.8494</v>
      </c>
      <c r="I36" s="14" t="n">
        <v>204.8494</v>
      </c>
      <c r="J36" s="16" t="inlineStr">
        <is>
          <t>合理</t>
        </is>
      </c>
      <c r="K36" s="14" t="n">
        <v>0.7608</v>
      </c>
      <c r="L36" s="14" t="n">
        <v>102.4247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inlineStr">
        <is>
          <t>HKD</t>
        </is>
      </c>
      <c r="E37" s="9" t="n">
        <v>216.1095</v>
      </c>
      <c r="F37" s="9" t="n">
        <v>324.1643</v>
      </c>
      <c r="G37" s="9" t="n">
        <v>497.0519</v>
      </c>
      <c r="H37" s="9" t="n">
        <v>648.3286000000001</v>
      </c>
      <c r="I37" s="9" t="n">
        <v>648.3286000000001</v>
      </c>
      <c r="J37" s="11" t="inlineStr">
        <is>
          <t>便宜</t>
        </is>
      </c>
      <c r="K37" s="9" t="n">
        <v>0.7075</v>
      </c>
      <c r="L37" s="9" t="n">
        <v>324.1643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inlineStr">
        <is>
          <t>HKD</t>
        </is>
      </c>
      <c r="E38" s="24" t="n">
        <v>34.1686</v>
      </c>
      <c r="F38" s="24" t="n">
        <v>51.253</v>
      </c>
      <c r="G38" s="24" t="n">
        <v>78.5879</v>
      </c>
      <c r="H38" s="24" t="n">
        <v>102.5059</v>
      </c>
      <c r="I38" s="24" t="n">
        <v>102.5059</v>
      </c>
      <c r="J38" s="26" t="inlineStr">
        <is>
          <t>非常昂貴</t>
        </is>
      </c>
      <c r="K38" s="24" t="n">
        <v>1.5526</v>
      </c>
      <c r="L38" s="24" t="n">
        <v>51.253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inlineStr">
        <is>
          <t>HKD</t>
        </is>
      </c>
      <c r="E39" s="9" t="n">
        <v>150.8163</v>
      </c>
      <c r="F39" s="9" t="n">
        <v>226.2245</v>
      </c>
      <c r="G39" s="9" t="n">
        <v>346.8776</v>
      </c>
      <c r="H39" s="9" t="n">
        <v>452.449</v>
      </c>
      <c r="I39" s="9" t="n">
        <v>452.449</v>
      </c>
      <c r="J39" s="11" t="inlineStr">
        <is>
          <t>便宜</t>
        </is>
      </c>
      <c r="K39" s="9" t="n">
        <v>0.6306</v>
      </c>
      <c r="L39" s="9" t="n">
        <v>226.2245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inlineStr">
        <is>
          <t>CNY</t>
        </is>
      </c>
      <c r="E40" s="9" t="n">
        <v>63.191</v>
      </c>
      <c r="F40" s="9" t="n">
        <v>94.7864</v>
      </c>
      <c r="G40" s="9" t="n">
        <v>145.3392</v>
      </c>
      <c r="H40" s="9" t="n">
        <v>189.5729</v>
      </c>
      <c r="I40" s="9" t="n">
        <v>189.5729</v>
      </c>
      <c r="J40" s="11" t="inlineStr">
        <is>
          <t>便宜</t>
        </is>
      </c>
      <c r="K40" s="9" t="n">
        <v>0.6506</v>
      </c>
      <c r="L40" s="9" t="n">
        <v>94.7864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inlineStr">
        <is>
          <t>CNY</t>
        </is>
      </c>
      <c r="E41" s="14" t="n">
        <v>100.1509</v>
      </c>
      <c r="F41" s="14" t="n">
        <v>150.2263</v>
      </c>
      <c r="G41" s="14" t="n">
        <v>230.347</v>
      </c>
      <c r="H41" s="14" t="n">
        <v>300.4526</v>
      </c>
      <c r="I41" s="14" t="n">
        <v>300.4526</v>
      </c>
      <c r="J41" s="16" t="inlineStr">
        <is>
          <t>合理</t>
        </is>
      </c>
      <c r="K41" s="14" t="n">
        <v>0.789</v>
      </c>
      <c r="L41" s="14" t="n">
        <v>150.2263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1.6258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inlineStr">
        <is>
          <t>CNY</t>
        </is>
      </c>
      <c r="E43" s="24" t="n">
        <v>25.2769</v>
      </c>
      <c r="F43" s="24" t="n">
        <v>37.9153</v>
      </c>
      <c r="G43" s="24" t="n">
        <v>58.1369</v>
      </c>
      <c r="H43" s="24" t="n">
        <v>75.83069999999999</v>
      </c>
      <c r="I43" s="24" t="n">
        <v>75.83069999999999</v>
      </c>
      <c r="J43" s="26" t="inlineStr">
        <is>
          <t>非常昂貴</t>
        </is>
      </c>
      <c r="K43" s="24" t="n">
        <v>2.2978</v>
      </c>
      <c r="L43" s="24" t="n">
        <v>37.9153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inlineStr">
        <is>
          <t>CNY</t>
        </is>
      </c>
      <c r="E44" s="14" t="n">
        <v>593.4176</v>
      </c>
      <c r="F44" s="14" t="n">
        <v>890.1264</v>
      </c>
      <c r="G44" s="14" t="n">
        <v>1364.8605</v>
      </c>
      <c r="H44" s="14" t="n">
        <v>1780.2529</v>
      </c>
      <c r="I44" s="14" t="n">
        <v>1780.2529</v>
      </c>
      <c r="J44" s="16" t="inlineStr">
        <is>
          <t>合理</t>
        </is>
      </c>
      <c r="K44" s="14" t="n">
        <v>1.0419</v>
      </c>
      <c r="L44" s="14" t="n">
        <v>890.1264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inlineStr">
        <is>
          <t>CNY</t>
        </is>
      </c>
      <c r="E45" s="19" t="n">
        <v>10.281</v>
      </c>
      <c r="F45" s="19" t="n">
        <v>15.4215</v>
      </c>
      <c r="G45" s="19" t="n">
        <v>23.6463</v>
      </c>
      <c r="H45" s="19" t="n">
        <v>30.843</v>
      </c>
      <c r="I45" s="19" t="n">
        <v>30.843</v>
      </c>
      <c r="J45" s="21" t="inlineStr">
        <is>
          <t>昂貴</t>
        </is>
      </c>
      <c r="K45" s="19" t="n">
        <v>1.3909</v>
      </c>
      <c r="L45" s="19" t="n">
        <v>15.4215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inlineStr">
        <is>
          <t>CNY</t>
        </is>
      </c>
      <c r="E46" s="24" t="n">
        <v>17.8864</v>
      </c>
      <c r="F46" s="24" t="n">
        <v>26.8296</v>
      </c>
      <c r="G46" s="24" t="n">
        <v>41.1388</v>
      </c>
      <c r="H46" s="24" t="n">
        <v>53.6593</v>
      </c>
      <c r="I46" s="24" t="n">
        <v>53.6593</v>
      </c>
      <c r="J46" s="26" t="inlineStr">
        <is>
          <t>非常昂貴</t>
        </is>
      </c>
      <c r="K46" s="24" t="n">
        <v>1.6521</v>
      </c>
      <c r="L46" s="24" t="n">
        <v>26.8296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inlineStr">
        <is>
          <t>CNY</t>
        </is>
      </c>
      <c r="E47" s="9" t="n">
        <v>50.4768</v>
      </c>
      <c r="F47" s="9" t="n">
        <v>75.7152</v>
      </c>
      <c r="G47" s="9" t="n">
        <v>116.0967</v>
      </c>
      <c r="H47" s="9" t="n">
        <v>151.4305</v>
      </c>
      <c r="I47" s="9" t="n">
        <v>151.4305</v>
      </c>
      <c r="J47" s="11" t="inlineStr">
        <is>
          <t>便宜</t>
        </is>
      </c>
      <c r="K47" s="9" t="n">
        <v>0.5357</v>
      </c>
      <c r="L47" s="9" t="n">
        <v>75.7152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inlineStr">
        <is>
          <t>CNY</t>
        </is>
      </c>
      <c r="E48" s="9" t="n">
        <v>56.5745</v>
      </c>
      <c r="F48" s="9" t="n">
        <v>84.8618</v>
      </c>
      <c r="G48" s="9" t="n">
        <v>130.1214</v>
      </c>
      <c r="H48" s="9" t="n">
        <v>169.7236</v>
      </c>
      <c r="I48" s="9" t="n">
        <v>169.7236</v>
      </c>
      <c r="J48" s="11" t="inlineStr">
        <is>
          <t>便宜</t>
        </is>
      </c>
      <c r="K48" s="9" t="n">
        <v>0.6865</v>
      </c>
      <c r="L48" s="9" t="n">
        <v>84.8618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inlineStr">
        <is>
          <t>CNY</t>
        </is>
      </c>
      <c r="E49" s="24" t="n">
        <v>39.5069</v>
      </c>
      <c r="F49" s="24" t="n">
        <v>59.2603</v>
      </c>
      <c r="G49" s="24" t="n">
        <v>90.86579999999999</v>
      </c>
      <c r="H49" s="24" t="n">
        <v>118.5206</v>
      </c>
      <c r="I49" s="24" t="n">
        <v>118.5206</v>
      </c>
      <c r="J49" s="26" t="inlineStr">
        <is>
          <t>非常昂貴</t>
        </is>
      </c>
      <c r="K49" s="24" t="n">
        <v>4.1399</v>
      </c>
      <c r="L49" s="24" t="n">
        <v>59.2603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26.643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66.89360000000001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5/7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n">
        <v>8</v>
      </c>
      <c r="E5" s="7" t="inlineStr">
        <is>
          <t>★★★★☆</t>
        </is>
      </c>
      <c r="F5" s="11" t="inlineStr">
        <is>
          <t>便宜</t>
        </is>
      </c>
      <c r="G5" s="7" t="inlineStr">
        <is>
          <t>便宜</t>
        </is>
      </c>
      <c r="H5" s="7" t="n">
        <v>88.8</v>
      </c>
      <c r="I5" s="8" t="inlineStr">
        <is>
          <t>連續十年獲利、ROE逾20%、淨現金為正的穩健現金牛</t>
        </is>
      </c>
      <c r="J5" s="8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8" t="inlineStr">
        <is>
          <t>流動比率僅1.15，短期償債緩衝偏薄 / 終值佔比57.6%，估值對假設敏感 / 營收增速由12.7%降至9.9%，成長趨緩</t>
        </is>
      </c>
      <c r="L5" s="7" t="inlineStr">
        <is>
          <t>qwen3.8-max</t>
        </is>
      </c>
      <c r="M5" s="7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92.59999999999999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5.4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n">
        <v>4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ROE逾22%、淨現金1,206億，獲利與現金流品質優異</t>
        </is>
      </c>
      <c r="J32" s="18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8" t="inlineStr">
        <is>
          <t>營收增速趨緩，成熟期成長天花板 / 估值溢價25%，安全邊際不足 / 格雷厄姆防禦檢查僅通過2/7</t>
        </is>
      </c>
      <c r="L32" s="17" t="inlineStr">
        <is>
          <t>qwen3.8-max</t>
        </is>
      </c>
      <c r="M32" s="17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n">
        <v>8.5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非常便宜</t>
        </is>
      </c>
      <c r="H34" s="2" t="n">
        <v>93.09999999999999</v>
      </c>
      <c r="I34" s="3" t="inlineStr">
        <is>
          <t>高毛利、低負債、現金流充沛，十年穩健成長</t>
        </is>
      </c>
      <c r="J34" s="3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3" t="inlineStr">
        <is>
          <t>PE×PB未通過格雷厄姆22.5上限 / 派息率76%壓縮再投資空間 / 終值佔比57.7%依賴長期成長假設</t>
        </is>
      </c>
      <c r="L34" s="2" t="inlineStr">
        <is>
          <t>qwen3.8-max</t>
        </is>
      </c>
      <c r="M34" s="2" t="inlineStr">
        <is>
          <t>2026-10-01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獲利穩定但利潤率薄，資本密集致自由現金流極弱</t>
        </is>
      </c>
      <c r="J35" s="2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23" t="inlineStr">
        <is>
          <t>資本支出龐大壓縮自由現金流 / 毛利率僅15.7%抗風險力弱 / 終值佔比122%估值高度不確定</t>
        </is>
      </c>
      <c r="L35" s="22" t="inlineStr">
        <is>
          <t>qwen3.8-max</t>
        </is>
      </c>
      <c r="M35" s="22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n">
        <v>3.5</v>
      </c>
      <c r="E46" s="22" t="inlineStr">
        <is>
          <t>★★☆☆☆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營收高增但自由現金流為負，薄利模式高度依賴資本開支擴張</t>
        </is>
      </c>
      <c r="J46" s="23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23" t="inlineStr">
        <is>
          <t>自由現金流持續為負，資本開支壓力大 / 毛利率僅7.2%，抗風險緩衝極薄 / 現價溢價65%，估值回歸風險顯著</t>
        </is>
      </c>
      <c r="L46" s="22" t="inlineStr">
        <is>
          <t>qwen3.8-max</t>
        </is>
      </c>
      <c r="M46" s="22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2026-10-02T15:30:47Z</dcterms:created>
  <dcterms:modified xmlns:dcterms="http://purl.org/dc/terms/" xmlns:xsi="http://www.w3.org/2001/XMLSchema-instance" xsi:type="dcterms:W3CDTF">2026-10-02T15:30:51Z</dcterms:modified>
</cp:coreProperties>
</file>