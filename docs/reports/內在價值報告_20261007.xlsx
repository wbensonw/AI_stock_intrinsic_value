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3.945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8.3293</v>
      </c>
      <c r="J2" s="4" t="n">
        <v>3.8847</v>
      </c>
      <c r="K2" s="4" t="n">
        <v>7.0855</v>
      </c>
      <c r="L2" s="5" t="n">
        <v>-52.6</v>
      </c>
      <c r="M2" s="5" t="n">
        <v>25</v>
      </c>
      <c r="N2" s="4" t="n">
        <v>6.2469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2026-09-30</t>
        </is>
      </c>
      <c r="AF2" s="3" t="inlineStr">
        <is>
          <t>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23.68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71.9622</v>
      </c>
      <c r="J4" s="4" t="n">
        <v>41.4656</v>
      </c>
      <c r="K4" s="4" t="n">
        <v>67.98009999999999</v>
      </c>
      <c r="L4" s="5" t="n">
        <v>-67.09999999999999</v>
      </c>
      <c r="M4" s="5" t="n">
        <v>25</v>
      </c>
      <c r="N4" s="4" t="n">
        <v>53.9716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缺關鍵科目：capex / 報表幣別 CNY → 交易幣別 HKD，匯率 1.1676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38.1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142.5547</v>
      </c>
      <c r="J5" s="4" t="n">
        <v>55.8024</v>
      </c>
      <c r="K5" s="4" t="n">
        <v>151.0522</v>
      </c>
      <c r="L5" s="5" t="n">
        <v>-73.3</v>
      </c>
      <c r="M5" s="5" t="n">
        <v>25</v>
      </c>
      <c r="N5" s="4" t="n">
        <v>106.9161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2026-09-30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9.654999999999999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23.0766</v>
      </c>
      <c r="J6" s="4" t="n">
        <v>14.9245</v>
      </c>
      <c r="K6" s="4" t="n">
        <v>15.5986</v>
      </c>
      <c r="L6" s="5" t="n">
        <v>-58.2</v>
      </c>
      <c r="M6" s="5" t="n">
        <v>25</v>
      </c>
      <c r="N6" s="4" t="n">
        <v>17.3075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99.5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>
        <is>
          <t>報表幣別 CNY → 交易幣別 HKD，匯率 1.1676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5.475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11.4912</v>
      </c>
      <c r="J7" s="4" t="n">
        <v>8.4054</v>
      </c>
      <c r="K7" s="4" t="n">
        <v>12.4222</v>
      </c>
      <c r="L7" s="5" t="n">
        <v>-52.4</v>
      </c>
      <c r="M7" s="5" t="n">
        <v>25</v>
      </c>
      <c r="N7" s="4" t="n">
        <v>8.618399999999999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2026-09-30</t>
        </is>
      </c>
      <c r="AF7" s="3" t="inlineStr">
        <is>
          <t>報表幣別 CNY → 交易幣別 HKD，匯率 1.1676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431.57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6265.31</v>
      </c>
      <c r="J8" s="4" t="n">
        <v>539.2962</v>
      </c>
      <c r="K8" s="4" t="n">
        <v>5285.4917</v>
      </c>
      <c r="L8" s="5" t="n">
        <v>-93.09999999999999</v>
      </c>
      <c r="M8" s="5" t="n">
        <v>25</v>
      </c>
      <c r="N8" s="4" t="n">
        <v>4698.9825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79.90000000000001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3.8156</v>
      </c>
      <c r="J9" s="4" t="n">
        <v>2.2149</v>
      </c>
      <c r="K9" s="4" t="n">
        <v>2.9094</v>
      </c>
      <c r="L9" s="5" t="n">
        <v>-67.90000000000001</v>
      </c>
      <c r="M9" s="5" t="n">
        <v>25</v>
      </c>
      <c r="N9" s="4" t="n">
        <v>2.8617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-63.5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4.405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9.363</v>
      </c>
      <c r="J11" s="4" t="n">
        <v>3.5486</v>
      </c>
      <c r="K11" s="4" t="n">
        <v>6.2957</v>
      </c>
      <c r="L11" s="5" t="n">
        <v>-53</v>
      </c>
      <c r="M11" s="5" t="n">
        <v>25</v>
      </c>
      <c r="N11" s="4" t="n">
        <v>7.0222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92.59999999999999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>
        <is>
          <t>缺關鍵科目：capex / 報表幣別 CNY → 交易幣別 HKD，匯率 1.1676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51.35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590.304</v>
      </c>
      <c r="J12" s="4" t="n">
        <v>32.3377</v>
      </c>
      <c r="K12" s="4" t="n">
        <v>132.4549</v>
      </c>
      <c r="L12" s="5" t="n">
        <v>-91.3</v>
      </c>
      <c r="M12" s="5" t="n">
        <v>25</v>
      </c>
      <c r="N12" s="4" t="n">
        <v>442.728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2026-09-30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98.78279999999999</v>
      </c>
      <c r="J13" s="4" t="n">
        <v>5.536</v>
      </c>
      <c r="K13" s="4" t="n">
        <v>13.1486</v>
      </c>
      <c r="L13" s="5" t="n">
        <v>-92.2</v>
      </c>
      <c r="M13" s="5" t="n">
        <v>25</v>
      </c>
      <c r="N13" s="4" t="n">
        <v>74.08710000000001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52.6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701.7938</v>
      </c>
      <c r="J14" s="4" t="n">
        <v>45.024</v>
      </c>
      <c r="K14" s="4" t="n">
        <v>136.9721</v>
      </c>
      <c r="L14" s="5" t="n">
        <v>-92.5</v>
      </c>
      <c r="M14" s="5" t="n">
        <v>25</v>
      </c>
      <c r="N14" s="4" t="n">
        <v>526.3453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503.515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9.699999999999999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131.1779</v>
      </c>
      <c r="J16" s="4" t="n">
        <v>7.1293</v>
      </c>
      <c r="K16" s="4" t="n">
        <v>20.2297</v>
      </c>
      <c r="L16" s="5" t="n">
        <v>-92.59999999999999</v>
      </c>
      <c r="M16" s="5" t="n">
        <v>25</v>
      </c>
      <c r="N16" s="4" t="n">
        <v>98.38339999999999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CN</t>
        </is>
      </c>
      <c r="B18" s="7" t="inlineStr">
        <is>
          <t>000333</t>
        </is>
      </c>
      <c r="C18" s="8" t="inlineStr">
        <is>
          <t>美的集团</t>
        </is>
      </c>
      <c r="D18" s="9" t="n">
        <v>80.2</v>
      </c>
      <c r="E18" s="8" t="inlineStr"/>
      <c r="F18" s="7" t="inlineStr">
        <is>
          <t>mature</t>
        </is>
      </c>
      <c r="G18" s="7" t="inlineStr">
        <is>
          <t>CNY</t>
        </is>
      </c>
      <c r="H18" s="8" t="inlineStr"/>
      <c r="I18" s="9" t="n">
        <v>107.2573</v>
      </c>
      <c r="J18" s="9" t="n">
        <v>69.45959999999999</v>
      </c>
      <c r="K18" s="9" t="n">
        <v>136.1553</v>
      </c>
      <c r="L18" s="10" t="n">
        <v>-25.2</v>
      </c>
      <c r="M18" s="10" t="n">
        <v>25</v>
      </c>
      <c r="N18" s="9" t="n">
        <v>80.443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7.5</v>
      </c>
      <c r="W18" s="7" t="n">
        <v>88.8</v>
      </c>
      <c r="X18" s="8" t="inlineStr">
        <is>
          <t>連續十年獲利、ROE逾20%、淨現金為正的穩健現金牛</t>
        </is>
      </c>
      <c r="Y18" s="10" t="n">
        <v>20.9</v>
      </c>
      <c r="Z18" s="10" t="n">
        <v>22.3</v>
      </c>
      <c r="AA18" s="10" t="n">
        <v>26.5</v>
      </c>
      <c r="AB18" s="10" t="n">
        <v>64.90000000000001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425.6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662.4681</v>
      </c>
      <c r="J19" s="9" t="n">
        <v>461.1694</v>
      </c>
      <c r="K19" s="9" t="n">
        <v>612.1152</v>
      </c>
      <c r="L19" s="10" t="n">
        <v>-35.8</v>
      </c>
      <c r="M19" s="10" t="n">
        <v>25</v>
      </c>
      <c r="N19" s="9" t="n">
        <v>496.851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ROE逾20%且穩定，自由現金流率近25%，財務體質優良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>
        <is>
          <t>報表幣別 CNY → 交易幣別 HKD，匯率 1.1676</t>
        </is>
      </c>
    </row>
    <row r="20">
      <c r="A20" s="7" t="inlineStr">
        <is>
          <t>CN</t>
        </is>
      </c>
      <c r="B20" s="7" t="inlineStr">
        <is>
          <t>300274</t>
        </is>
      </c>
      <c r="C20" s="8" t="inlineStr">
        <is>
          <t>阳光电源</t>
        </is>
      </c>
      <c r="D20" s="9" t="n">
        <v>82.23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126.3819</v>
      </c>
      <c r="J20" s="9" t="n">
        <v>67.58410000000001</v>
      </c>
      <c r="K20" s="9" t="n">
        <v>166.782</v>
      </c>
      <c r="L20" s="10" t="n">
        <v>-34.9</v>
      </c>
      <c r="M20" s="10" t="n">
        <v>25</v>
      </c>
      <c r="N20" s="9" t="n">
        <v>94.7864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7.8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8</v>
      </c>
      <c r="W20" s="7" t="n">
        <v>85.90000000000001</v>
      </c>
      <c r="X20" s="8" t="inlineStr">
        <is>
          <t>淨現金充裕、ROIC逾41%、十年連續獲利，現金流品質極佳</t>
        </is>
      </c>
      <c r="Y20" s="10" t="n">
        <v>21.7</v>
      </c>
      <c r="Z20" s="10" t="n">
        <v>41.1</v>
      </c>
      <c r="AA20" s="10" t="n">
        <v>32</v>
      </c>
      <c r="AB20" s="10" t="n">
        <v>58.2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/>
    </row>
    <row r="21">
      <c r="A21" s="7" t="inlineStr">
        <is>
          <t>HK</t>
        </is>
      </c>
      <c r="B21" s="7" t="inlineStr">
        <is>
          <t>09999</t>
        </is>
      </c>
      <c r="C21" s="8" t="inlineStr">
        <is>
          <t>网易</t>
        </is>
      </c>
      <c r="D21" s="9" t="n">
        <v>190.2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301.6327</v>
      </c>
      <c r="J21" s="9" t="n">
        <v>154.1478</v>
      </c>
      <c r="K21" s="9" t="n">
        <v>380.6795</v>
      </c>
      <c r="L21" s="10" t="n">
        <v>-36.9</v>
      </c>
      <c r="M21" s="10" t="n">
        <v>25</v>
      </c>
      <c r="N21" s="9" t="n">
        <v>226.2245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7.6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7</v>
      </c>
      <c r="W21" s="7" t="n">
        <v>84.8</v>
      </c>
      <c r="X21" s="8" t="inlineStr">
        <is>
          <t>高毛利、淨現金充裕、自由現金流率逾42%，財務體質極為穩健</t>
        </is>
      </c>
      <c r="Y21" s="10" t="n">
        <v>19.5</v>
      </c>
      <c r="Z21" s="10" t="n">
        <v>777.9</v>
      </c>
      <c r="AA21" s="10" t="n">
        <v>67.2</v>
      </c>
      <c r="AB21" s="10" t="n">
        <v>26.1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報表幣別 CNY → 交易幣別 HKD，匯率 1.1676</t>
        </is>
      </c>
    </row>
    <row r="22">
      <c r="A22" s="7" t="inlineStr">
        <is>
          <t>CN</t>
        </is>
      </c>
      <c r="B22" s="7" t="inlineStr">
        <is>
          <t>605117</t>
        </is>
      </c>
      <c r="C22" s="8" t="inlineStr">
        <is>
          <t>德业股份</t>
        </is>
      </c>
      <c r="D22" s="9" t="n">
        <v>77.68000000000001</v>
      </c>
      <c r="E22" s="8" t="inlineStr"/>
      <c r="F22" s="7" t="inlineStr">
        <is>
          <t>growth</t>
        </is>
      </c>
      <c r="G22" s="7" t="inlineStr">
        <is>
          <t>CNY</t>
        </is>
      </c>
      <c r="H22" s="8" t="inlineStr"/>
      <c r="I22" s="9" t="n">
        <v>113.1491</v>
      </c>
      <c r="J22" s="9" t="n">
        <v>55.5052</v>
      </c>
      <c r="K22" s="9" t="n">
        <v>108.9458</v>
      </c>
      <c r="L22" s="10" t="n">
        <v>-31.3</v>
      </c>
      <c r="M22" s="10" t="n">
        <v>25</v>
      </c>
      <c r="N22" s="9" t="n">
        <v>84.8618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5</v>
      </c>
      <c r="U22" s="7" t="n">
        <v>8.5</v>
      </c>
      <c r="V22" s="7" t="n">
        <v>8</v>
      </c>
      <c r="W22" s="7" t="n">
        <v>91.5</v>
      </c>
      <c r="X22" s="8" t="inlineStr">
        <is>
          <t>ROIC近59%、自由現金流率32%，財務體質優異</t>
        </is>
      </c>
      <c r="Y22" s="10" t="n">
        <v>38</v>
      </c>
      <c r="Z22" s="10" t="n">
        <v>58.5</v>
      </c>
      <c r="AA22" s="10" t="n">
        <v>38</v>
      </c>
      <c r="AB22" s="10" t="n">
        <v>53.9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>
        <is>
          <t>行情總股本(1,273,282,072)與財報EPS反推(902,750,991)差異&gt;25%，已改用反推值</t>
        </is>
      </c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7.2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7.5</v>
      </c>
      <c r="W23" s="7" t="n">
        <v>93</v>
      </c>
      <c r="X23" s="8" t="inlineStr">
        <is>
          <t>十年穩定獲利與派息，現金流充裕但成長動能明顯減弱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7</v>
      </c>
      <c r="S24" s="7" t="inlineStr">
        <is>
          <t>★★★★☆</t>
        </is>
      </c>
      <c r="T24" s="7" t="n">
        <v>5.5</v>
      </c>
      <c r="U24" s="7" t="n">
        <v>6.5</v>
      </c>
      <c r="V24" s="7" t="n">
        <v>7</v>
      </c>
      <c r="W24" s="7" t="n">
        <v>89.2</v>
      </c>
      <c r="X24" s="8" t="inlineStr">
        <is>
          <t>高毛利平台、淨現金充裕，惟獲利波動大、派息紀錄薄弱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78.90000000000001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89.8815</v>
      </c>
      <c r="J26" s="14" t="n">
        <v>87.3331</v>
      </c>
      <c r="K26" s="14" t="n">
        <v>92.75839999999999</v>
      </c>
      <c r="L26" s="15" t="n">
        <v>-12.2</v>
      </c>
      <c r="M26" s="15" t="n">
        <v>25</v>
      </c>
      <c r="N26" s="14" t="n">
        <v>67.4111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>
        <is>
          <t>報表幣別 CNY → 交易幣別 HKD，匯率 1.1676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158.03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200.3017</v>
      </c>
      <c r="J27" s="14" t="n">
        <v>116.6319</v>
      </c>
      <c r="K27" s="14" t="n">
        <v>176.872</v>
      </c>
      <c r="L27" s="15" t="n">
        <v>-21.1</v>
      </c>
      <c r="M27" s="15" t="n">
        <v>25</v>
      </c>
      <c r="N27" s="14" t="n">
        <v>150.2263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1236.51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1186.8353</v>
      </c>
      <c r="J28" s="14" t="n">
        <v>838.7876</v>
      </c>
      <c r="K28" s="14" t="n">
        <v>2058.441</v>
      </c>
      <c r="L28" s="15" t="n">
        <v>4.2</v>
      </c>
      <c r="M28" s="15" t="n">
        <v>25</v>
      </c>
      <c r="N28" s="14" t="n">
        <v>890.1264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41.2413</v>
      </c>
      <c r="J32" s="14" t="n">
        <v>11.4225</v>
      </c>
      <c r="K32" s="14" t="n">
        <v>52.2924</v>
      </c>
      <c r="L32" s="15" t="n">
        <v>-20.3</v>
      </c>
      <c r="M32" s="15" t="n">
        <v>35</v>
      </c>
      <c r="N32" s="14" t="n">
        <v>26.8068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CNY → 交易幣別 HKD，匯率 1.1676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35.28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31.6484</v>
      </c>
      <c r="J33" s="14" t="n">
        <v>16.8903</v>
      </c>
      <c r="K33" s="14" t="n">
        <v>19.8496</v>
      </c>
      <c r="L33" s="15" t="n">
        <v>11.5</v>
      </c>
      <c r="M33" s="15" t="n">
        <v>25</v>
      </c>
      <c r="N33" s="14" t="n">
        <v>23.7363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93.2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USD → 交易幣別 HKD，匯率 7.8445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3.04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2.3224</v>
      </c>
      <c r="J35" s="19" t="n">
        <v>1.8164</v>
      </c>
      <c r="K35" s="19" t="n">
        <v>3.9917</v>
      </c>
      <c r="L35" s="20" t="n">
        <v>30.9</v>
      </c>
      <c r="M35" s="20" t="n">
        <v>25</v>
      </c>
      <c r="N35" s="19" t="n">
        <v>1.7418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481.8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384.0527</v>
      </c>
      <c r="J37" s="19" t="n">
        <v>170.6496</v>
      </c>
      <c r="K37" s="19" t="n">
        <v>310.111</v>
      </c>
      <c r="L37" s="20" t="n">
        <v>25.5</v>
      </c>
      <c r="M37" s="20" t="n">
        <v>25</v>
      </c>
      <c r="N37" s="19" t="n">
        <v>288.0395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59.1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35.7728</v>
      </c>
      <c r="J43" s="24" t="n">
        <v>25.6275</v>
      </c>
      <c r="K43" s="24" t="n">
        <v>36.6914</v>
      </c>
      <c r="L43" s="25" t="n">
        <v>65.2</v>
      </c>
      <c r="M43" s="25" t="n">
        <v>25</v>
      </c>
      <c r="N43" s="24" t="n">
        <v>26.8296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385.6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146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2026-09-30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21.74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12.2453</v>
      </c>
      <c r="J45" s="24" t="n">
        <v>6.6442</v>
      </c>
      <c r="K45" s="24" t="n">
        <v>9.710800000000001</v>
      </c>
      <c r="L45" s="25" t="n">
        <v>77.5</v>
      </c>
      <c r="M45" s="25" t="n">
        <v>25</v>
      </c>
      <c r="N45" s="24" t="n">
        <v>9.1839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報表幣別 CNY → 交易幣別 HKD，匯率 1.1676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327.11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79.0137</v>
      </c>
      <c r="J47" s="24" t="n">
        <v>56.4053</v>
      </c>
      <c r="K47" s="24" t="n">
        <v>76.496</v>
      </c>
      <c r="L47" s="25" t="n">
        <v>314</v>
      </c>
      <c r="M47" s="25" t="n">
        <v>25</v>
      </c>
      <c r="N47" s="24" t="n">
        <v>59.2603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277.34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2564.3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61.15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6.9184</v>
      </c>
      <c r="J56" s="24" t="n">
        <v>3.7781</v>
      </c>
      <c r="K56" s="24" t="n">
        <v>10.414</v>
      </c>
      <c r="L56" s="25" t="n">
        <v>783.9</v>
      </c>
      <c r="M56" s="25" t="n">
        <v>25</v>
      </c>
      <c r="N56" s="24" t="n">
        <v>5.1888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82.7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2026-09-30</t>
        </is>
      </c>
      <c r="AF56" s="23" t="inlineStr">
        <is>
          <t>報表幣別 USD → 交易幣別 HKD，匯率 7.8445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446.88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6589.3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14.0036</v>
      </c>
      <c r="J63" s="24" t="n">
        <v>4.7988</v>
      </c>
      <c r="K63" s="24" t="n">
        <v>58.306</v>
      </c>
      <c r="L63" s="25" t="n">
        <v>401.3</v>
      </c>
      <c r="M63" s="25" t="n">
        <v>25</v>
      </c>
      <c r="N63" s="24" t="n">
        <v>10.5027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CNY → 交易幣別 HKD，匯率 1.1676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0.1249</v>
      </c>
      <c r="L65" s="25" t="n">
        <v>1168.1</v>
      </c>
      <c r="M65" s="25" t="n">
        <v>25</v>
      </c>
      <c r="N65" s="24" t="n">
        <v>0.07240000000000001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5.53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158.6583</v>
      </c>
      <c r="J67" s="29" t="n">
        <v>4.6609</v>
      </c>
      <c r="K67" s="29" t="n">
        <v>62.3877</v>
      </c>
      <c r="L67" s="30" t="n">
        <v>-96.5</v>
      </c>
      <c r="M67" s="30" t="n">
        <v>35</v>
      </c>
      <c r="N67" s="29" t="n">
        <v>103.1279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2026-10-06</t>
        </is>
      </c>
      <c r="AF67" s="28" t="inlineStr">
        <is>
          <t>報表幣別 CNY → 交易幣別 HKD，匯率 1.1687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3.9778</v>
      </c>
      <c r="J69" s="29" t="n">
        <v>2.7266</v>
      </c>
      <c r="K69" s="29" t="n">
        <v>79.6524</v>
      </c>
      <c r="L69" s="30" t="n">
        <v>31</v>
      </c>
      <c r="M69" s="30" t="n">
        <v>25</v>
      </c>
      <c r="N69" s="29" t="n">
        <v>2.9833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2026-09-30</t>
        </is>
      </c>
      <c r="AF70" s="28" t="inlineStr">
        <is>
          <t>行情總股本(46,773,506,909)與財報EPS反推(27,175,000,000)差異&gt;25%，已改用反推值 / 缺關鍵科目：capex / 報表幣別 CNY → 交易幣別 HKD，匯率 1.1676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5.53</v>
      </c>
      <c r="D20" s="34" t="n">
        <v>158.6583</v>
      </c>
      <c r="E20" s="34" t="n">
        <v>33.6138</v>
      </c>
      <c r="F20" s="34" t="n">
        <v>12.332</v>
      </c>
      <c r="G20" s="34" t="inlineStr"/>
      <c r="H20" s="34" t="n">
        <v>62.3877</v>
      </c>
      <c r="I20" s="34" t="n">
        <v>4.6609</v>
      </c>
      <c r="J20" s="34" t="inlineStr"/>
      <c r="K20" s="34" t="n">
        <v>437.7898</v>
      </c>
      <c r="L20" s="34" t="n">
        <v>1.1213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5.53</v>
      </c>
      <c r="D20" s="27" t="inlineStr">
        <is>
          <t>HKD</t>
        </is>
      </c>
      <c r="E20" s="29" t="n">
        <v>79.3292</v>
      </c>
      <c r="F20" s="29" t="n">
        <v>118.9938</v>
      </c>
      <c r="G20" s="29" t="n">
        <v>182.4571</v>
      </c>
      <c r="H20" s="29" t="n">
        <v>237.9875</v>
      </c>
      <c r="I20" s="29" t="n">
        <v>237.9875</v>
      </c>
      <c r="J20" s="31" t="inlineStr">
        <is>
          <t>無法估值</t>
        </is>
      </c>
      <c r="K20" s="29" t="n">
        <v>0.0349</v>
      </c>
      <c r="L20" s="29" t="n">
        <v>103.1279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5.53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8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便宜</t>
        </is>
      </c>
      <c r="H5" s="7" t="n">
        <v>88.8</v>
      </c>
      <c r="I5" s="8" t="inlineStr">
        <is>
          <t>連續十年獲利、ROE逾20%、淨現金為正的穩健現金牛</t>
        </is>
      </c>
      <c r="J5" s="8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8" t="inlineStr">
        <is>
          <t>流動比率僅1.15，短期償債緩衝偏薄 / 終值佔比57.6%，估值對假設敏感 / 營收增速由12.7%降至9.9%，成長趨緩</t>
        </is>
      </c>
      <c r="L5" s="7" t="inlineStr">
        <is>
          <t>qwen3.8-max</t>
        </is>
      </c>
      <c r="M5" s="7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5.53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2026-10-07T02:44:17Z</dcterms:created>
  <dcterms:modified xmlns:dcterms="http://purl.org/dc/terms/" xmlns:xsi="http://www.w3.org/2001/XMLSchema-instance" xsi:type="dcterms:W3CDTF">2026-10-07T02:44:20Z</dcterms:modified>
</cp:coreProperties>
</file>